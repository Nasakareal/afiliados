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LMichoacán_14\Desktop\Elecciones\Proyecto Elección 2024\"/>
    </mc:Choice>
  </mc:AlternateContent>
  <xr:revisionPtr revIDLastSave="0" documentId="13_ncr:1_{766F21D1-1FB5-433E-AB45-1C24B785CEBB}" xr6:coauthVersionLast="47" xr6:coauthVersionMax="47" xr10:uidLastSave="{00000000-0000-0000-0000-000000000000}"/>
  <bookViews>
    <workbookView xWindow="-120" yWindow="-120" windowWidth="20730" windowHeight="11040" activeTab="2" xr2:uid="{748E98DC-1627-4E7B-8480-D1444E1AB28C}"/>
  </bookViews>
  <sheets>
    <sheet name="Morena" sheetId="1" r:id="rId1"/>
    <sheet name="Distrito 10" sheetId="2" r:id="rId2"/>
    <sheet name="Distrito 08" sheetId="4" r:id="rId3"/>
    <sheet name="Cálculo Secciones" sheetId="5" r:id="rId4"/>
  </sheets>
  <definedNames>
    <definedName name="_xlnm._FilterDatabase" localSheetId="2" hidden="1">'Distrito 08'!$B$2:$L$2</definedName>
    <definedName name="_xlnm._FilterDatabase" localSheetId="1" hidden="1">'Distrito 10'!$B$2:$K$2</definedName>
    <definedName name="_xlnm._FilterDatabase" localSheetId="0" hidden="1">Morena!$A$3:$G$3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2" i="4" l="1"/>
  <c r="G142" i="5"/>
  <c r="G144" i="5"/>
  <c r="G145" i="5"/>
  <c r="G146" i="5"/>
  <c r="G147" i="5"/>
  <c r="G148" i="5"/>
  <c r="G149" i="5"/>
  <c r="G150" i="5"/>
  <c r="G151" i="5"/>
  <c r="G152" i="5"/>
  <c r="G154" i="5"/>
  <c r="G155" i="5"/>
  <c r="G156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3" i="5"/>
  <c r="F156" i="5"/>
  <c r="F152" i="5"/>
  <c r="F142" i="5"/>
  <c r="I28" i="4" l="1"/>
  <c r="I32" i="4"/>
  <c r="I59" i="4"/>
  <c r="I131" i="4"/>
  <c r="I86" i="4"/>
  <c r="I26" i="4"/>
  <c r="I27" i="4"/>
  <c r="I15" i="4"/>
  <c r="I75" i="4"/>
  <c r="I68" i="4"/>
  <c r="I117" i="4"/>
  <c r="I53" i="4"/>
  <c r="I4" i="4"/>
  <c r="I90" i="4"/>
  <c r="I31" i="4"/>
  <c r="I106" i="4"/>
  <c r="I62" i="4"/>
  <c r="I6" i="4"/>
  <c r="I92" i="4"/>
  <c r="I66" i="4"/>
  <c r="I49" i="4"/>
  <c r="I82" i="4"/>
  <c r="I30" i="4"/>
  <c r="I97" i="4"/>
  <c r="I88" i="4"/>
  <c r="I39" i="4"/>
  <c r="I19" i="4"/>
  <c r="I52" i="4"/>
  <c r="I91" i="4"/>
  <c r="I54" i="4"/>
  <c r="I7" i="4"/>
  <c r="I104" i="4"/>
  <c r="I79" i="4"/>
  <c r="I114" i="4"/>
  <c r="I105" i="4"/>
  <c r="I100" i="4"/>
  <c r="I95" i="4"/>
  <c r="I23" i="4"/>
  <c r="I76" i="4"/>
  <c r="I43" i="4"/>
  <c r="I60" i="4"/>
  <c r="I41" i="4"/>
  <c r="I85" i="4"/>
  <c r="I3" i="4"/>
  <c r="I101" i="4"/>
  <c r="I22" i="4"/>
  <c r="I103" i="4"/>
  <c r="I46" i="4"/>
  <c r="I118" i="4"/>
  <c r="I70" i="4"/>
  <c r="I37" i="4"/>
  <c r="I71" i="4"/>
  <c r="I93" i="4"/>
  <c r="I78" i="4"/>
  <c r="I5" i="4"/>
  <c r="I72" i="4"/>
  <c r="I11" i="4"/>
  <c r="I111" i="4"/>
  <c r="I47" i="4"/>
  <c r="I83" i="4"/>
  <c r="I29" i="4"/>
  <c r="I35" i="4"/>
  <c r="I84" i="4"/>
  <c r="I38" i="4"/>
  <c r="I64" i="4"/>
  <c r="I67" i="4"/>
  <c r="I108" i="4"/>
  <c r="I112" i="4"/>
  <c r="I81" i="4"/>
  <c r="I61" i="4"/>
  <c r="I109" i="4"/>
  <c r="I74" i="4"/>
  <c r="I73" i="4"/>
  <c r="I14" i="4"/>
  <c r="I10" i="4"/>
  <c r="I56" i="4"/>
  <c r="I57" i="4"/>
  <c r="I58" i="4"/>
  <c r="I69" i="4"/>
  <c r="I34" i="4"/>
  <c r="I77" i="4"/>
  <c r="I33" i="4"/>
  <c r="I25" i="4"/>
  <c r="I12" i="4"/>
  <c r="I48" i="4"/>
  <c r="I102" i="4"/>
  <c r="I96" i="4"/>
  <c r="I51" i="4"/>
  <c r="I42" i="4"/>
  <c r="I45" i="4"/>
  <c r="I20" i="4"/>
  <c r="I63" i="4"/>
  <c r="I8" i="4"/>
  <c r="I36" i="4"/>
  <c r="I87" i="4"/>
  <c r="I50" i="4"/>
  <c r="I110" i="4"/>
  <c r="I129" i="4"/>
  <c r="I127" i="4"/>
  <c r="I125" i="4"/>
  <c r="I116" i="4"/>
  <c r="I21" i="4"/>
  <c r="I94" i="4"/>
  <c r="I13" i="4"/>
  <c r="I99" i="4"/>
  <c r="I16" i="4"/>
  <c r="I128" i="4"/>
  <c r="I130" i="4"/>
  <c r="I122" i="4"/>
  <c r="I98" i="4"/>
  <c r="I65" i="4"/>
  <c r="I123" i="4"/>
  <c r="I113" i="4"/>
  <c r="I121" i="4"/>
  <c r="I24" i="4"/>
  <c r="I55" i="4"/>
  <c r="I115" i="4"/>
  <c r="I126" i="4"/>
  <c r="I40" i="4"/>
  <c r="I80" i="4"/>
  <c r="I44" i="4"/>
  <c r="I120" i="4"/>
  <c r="I119" i="4"/>
  <c r="I124" i="4"/>
  <c r="I18" i="4"/>
  <c r="I107" i="4"/>
  <c r="I89" i="4"/>
  <c r="I9" i="4"/>
  <c r="I17" i="4"/>
  <c r="D132" i="4"/>
  <c r="E132" i="4"/>
  <c r="F132" i="4"/>
  <c r="H86" i="4" s="1"/>
  <c r="G28" i="4"/>
  <c r="G32" i="4"/>
  <c r="G59" i="4"/>
  <c r="G131" i="4"/>
  <c r="G86" i="4"/>
  <c r="G26" i="4"/>
  <c r="G27" i="4"/>
  <c r="G15" i="4"/>
  <c r="G75" i="4"/>
  <c r="G68" i="4"/>
  <c r="G117" i="4"/>
  <c r="G53" i="4"/>
  <c r="G4" i="4"/>
  <c r="G90" i="4"/>
  <c r="G31" i="4"/>
  <c r="G106" i="4"/>
  <c r="G62" i="4"/>
  <c r="G6" i="4"/>
  <c r="G92" i="4"/>
  <c r="G66" i="4"/>
  <c r="G49" i="4"/>
  <c r="G82" i="4"/>
  <c r="G30" i="4"/>
  <c r="G97" i="4"/>
  <c r="G88" i="4"/>
  <c r="G39" i="4"/>
  <c r="G19" i="4"/>
  <c r="G52" i="4"/>
  <c r="G91" i="4"/>
  <c r="G54" i="4"/>
  <c r="G7" i="4"/>
  <c r="G104" i="4"/>
  <c r="G79" i="4"/>
  <c r="G114" i="4"/>
  <c r="G105" i="4"/>
  <c r="G100" i="4"/>
  <c r="G95" i="4"/>
  <c r="G23" i="4"/>
  <c r="G76" i="4"/>
  <c r="G43" i="4"/>
  <c r="G60" i="4"/>
  <c r="G41" i="4"/>
  <c r="G85" i="4"/>
  <c r="G3" i="4"/>
  <c r="G101" i="4"/>
  <c r="G22" i="4"/>
  <c r="G103" i="4"/>
  <c r="G46" i="4"/>
  <c r="G118" i="4"/>
  <c r="G70" i="4"/>
  <c r="G37" i="4"/>
  <c r="G71" i="4"/>
  <c r="G93" i="4"/>
  <c r="G78" i="4"/>
  <c r="G5" i="4"/>
  <c r="G72" i="4"/>
  <c r="G11" i="4"/>
  <c r="G111" i="4"/>
  <c r="G47" i="4"/>
  <c r="G83" i="4"/>
  <c r="G29" i="4"/>
  <c r="G35" i="4"/>
  <c r="G84" i="4"/>
  <c r="G38" i="4"/>
  <c r="G64" i="4"/>
  <c r="G67" i="4"/>
  <c r="G108" i="4"/>
  <c r="G112" i="4"/>
  <c r="G81" i="4"/>
  <c r="G61" i="4"/>
  <c r="G109" i="4"/>
  <c r="G74" i="4"/>
  <c r="G73" i="4"/>
  <c r="G14" i="4"/>
  <c r="G10" i="4"/>
  <c r="G56" i="4"/>
  <c r="G57" i="4"/>
  <c r="G58" i="4"/>
  <c r="G69" i="4"/>
  <c r="G34" i="4"/>
  <c r="G77" i="4"/>
  <c r="G33" i="4"/>
  <c r="G25" i="4"/>
  <c r="G12" i="4"/>
  <c r="G48" i="4"/>
  <c r="G102" i="4"/>
  <c r="G96" i="4"/>
  <c r="G51" i="4"/>
  <c r="G42" i="4"/>
  <c r="G45" i="4"/>
  <c r="G20" i="4"/>
  <c r="G63" i="4"/>
  <c r="G8" i="4"/>
  <c r="G36" i="4"/>
  <c r="G87" i="4"/>
  <c r="G50" i="4"/>
  <c r="G110" i="4"/>
  <c r="G129" i="4"/>
  <c r="G127" i="4"/>
  <c r="G125" i="4"/>
  <c r="G116" i="4"/>
  <c r="G21" i="4"/>
  <c r="G94" i="4"/>
  <c r="G13" i="4"/>
  <c r="G99" i="4"/>
  <c r="G16" i="4"/>
  <c r="G128" i="4"/>
  <c r="G130" i="4"/>
  <c r="G122" i="4"/>
  <c r="G98" i="4"/>
  <c r="G65" i="4"/>
  <c r="G123" i="4"/>
  <c r="G113" i="4"/>
  <c r="G121" i="4"/>
  <c r="G24" i="4"/>
  <c r="G55" i="4"/>
  <c r="G115" i="4"/>
  <c r="G126" i="4"/>
  <c r="G40" i="4"/>
  <c r="G80" i="4"/>
  <c r="G44" i="4"/>
  <c r="G120" i="4"/>
  <c r="G119" i="4"/>
  <c r="G124" i="4"/>
  <c r="G18" i="4"/>
  <c r="G107" i="4"/>
  <c r="G89" i="4"/>
  <c r="G9" i="4"/>
  <c r="G17" i="4"/>
  <c r="E156" i="5"/>
  <c r="D156" i="5"/>
  <c r="E152" i="5"/>
  <c r="D152" i="5"/>
  <c r="E142" i="5"/>
  <c r="D142" i="5"/>
  <c r="H45" i="4" l="1"/>
  <c r="H119" i="4"/>
  <c r="K119" i="4" s="1"/>
  <c r="L119" i="4" s="1"/>
  <c r="H113" i="4"/>
  <c r="K113" i="4" s="1"/>
  <c r="L113" i="4" s="1"/>
  <c r="H21" i="4"/>
  <c r="K21" i="4" s="1"/>
  <c r="L21" i="4" s="1"/>
  <c r="H20" i="4"/>
  <c r="K20" i="4" s="1"/>
  <c r="L20" i="4" s="1"/>
  <c r="H77" i="4"/>
  <c r="K77" i="4" s="1"/>
  <c r="L77" i="4" s="1"/>
  <c r="H61" i="4"/>
  <c r="K61" i="4" s="1"/>
  <c r="L61" i="4" s="1"/>
  <c r="H47" i="4"/>
  <c r="K47" i="4" s="1"/>
  <c r="L47" i="4" s="1"/>
  <c r="H118" i="4"/>
  <c r="H23" i="4"/>
  <c r="K23" i="4" s="1"/>
  <c r="L23" i="4" s="1"/>
  <c r="H19" i="4"/>
  <c r="H90" i="4"/>
  <c r="K90" i="4" s="1"/>
  <c r="L90" i="4" s="1"/>
  <c r="H65" i="4"/>
  <c r="K65" i="4" s="1"/>
  <c r="L65" i="4" s="1"/>
  <c r="H69" i="4"/>
  <c r="K69" i="4" s="1"/>
  <c r="L69" i="4" s="1"/>
  <c r="H103" i="4"/>
  <c r="K103" i="4" s="1"/>
  <c r="L103" i="4" s="1"/>
  <c r="H4" i="4"/>
  <c r="K4" i="4" s="1"/>
  <c r="L4" i="4" s="1"/>
  <c r="H44" i="4"/>
  <c r="K44" i="4" s="1"/>
  <c r="L44" i="4" s="1"/>
  <c r="H98" i="4"/>
  <c r="K98" i="4" s="1"/>
  <c r="L98" i="4" s="1"/>
  <c r="H127" i="4"/>
  <c r="K127" i="4" s="1"/>
  <c r="L127" i="4" s="1"/>
  <c r="H42" i="4"/>
  <c r="K42" i="4" s="1"/>
  <c r="L42" i="4" s="1"/>
  <c r="H58" i="4"/>
  <c r="K58" i="4" s="1"/>
  <c r="L58" i="4" s="1"/>
  <c r="H108" i="4"/>
  <c r="K108" i="4" s="1"/>
  <c r="L108" i="4" s="1"/>
  <c r="H11" i="4"/>
  <c r="K11" i="4" s="1"/>
  <c r="L11" i="4" s="1"/>
  <c r="H22" i="4"/>
  <c r="K22" i="4" s="1"/>
  <c r="L22" i="4" s="1"/>
  <c r="H105" i="4"/>
  <c r="K105" i="4" s="1"/>
  <c r="L105" i="4" s="1"/>
  <c r="H30" i="4"/>
  <c r="K30" i="4" s="1"/>
  <c r="L30" i="4" s="1"/>
  <c r="H117" i="4"/>
  <c r="K117" i="4" s="1"/>
  <c r="L117" i="4" s="1"/>
  <c r="H116" i="4"/>
  <c r="K116" i="4" s="1"/>
  <c r="L116" i="4" s="1"/>
  <c r="H111" i="4"/>
  <c r="K111" i="4" s="1"/>
  <c r="L111" i="4" s="1"/>
  <c r="H95" i="4"/>
  <c r="K95" i="4" s="1"/>
  <c r="L95" i="4" s="1"/>
  <c r="H40" i="4"/>
  <c r="K40" i="4" s="1"/>
  <c r="L40" i="4" s="1"/>
  <c r="H122" i="4"/>
  <c r="K122" i="4" s="1"/>
  <c r="L122" i="4" s="1"/>
  <c r="H129" i="4"/>
  <c r="H96" i="4"/>
  <c r="K96" i="4" s="1"/>
  <c r="L96" i="4" s="1"/>
  <c r="H57" i="4"/>
  <c r="K57" i="4" s="1"/>
  <c r="L57" i="4" s="1"/>
  <c r="H67" i="4"/>
  <c r="K67" i="4" s="1"/>
  <c r="L67" i="4" s="1"/>
  <c r="H5" i="4"/>
  <c r="K5" i="4" s="1"/>
  <c r="L5" i="4" s="1"/>
  <c r="H101" i="4"/>
  <c r="K101" i="4" s="1"/>
  <c r="L101" i="4" s="1"/>
  <c r="H114" i="4"/>
  <c r="K114" i="4" s="1"/>
  <c r="L114" i="4" s="1"/>
  <c r="H82" i="4"/>
  <c r="K82" i="4" s="1"/>
  <c r="L82" i="4" s="1"/>
  <c r="H68" i="4"/>
  <c r="K68" i="4" s="1"/>
  <c r="L68" i="4" s="1"/>
  <c r="H120" i="4"/>
  <c r="K120" i="4" s="1"/>
  <c r="L120" i="4" s="1"/>
  <c r="H81" i="4"/>
  <c r="K81" i="4" s="1"/>
  <c r="L81" i="4" s="1"/>
  <c r="H39" i="4"/>
  <c r="K39" i="4" s="1"/>
  <c r="L39" i="4" s="1"/>
  <c r="K86" i="4"/>
  <c r="L86" i="4" s="1"/>
  <c r="H17" i="4"/>
  <c r="K17" i="4" s="1"/>
  <c r="L17" i="4" s="1"/>
  <c r="H126" i="4"/>
  <c r="K126" i="4" s="1"/>
  <c r="L126" i="4" s="1"/>
  <c r="H128" i="4"/>
  <c r="K128" i="4" s="1"/>
  <c r="L128" i="4" s="1"/>
  <c r="H110" i="4"/>
  <c r="K110" i="4" s="1"/>
  <c r="L110" i="4" s="1"/>
  <c r="H102" i="4"/>
  <c r="K102" i="4" s="1"/>
  <c r="L102" i="4" s="1"/>
  <c r="H10" i="4"/>
  <c r="K10" i="4" s="1"/>
  <c r="L10" i="4" s="1"/>
  <c r="H64" i="4"/>
  <c r="K64" i="4" s="1"/>
  <c r="L64" i="4" s="1"/>
  <c r="H78" i="4"/>
  <c r="K78" i="4" s="1"/>
  <c r="L78" i="4" s="1"/>
  <c r="H85" i="4"/>
  <c r="K85" i="4" s="1"/>
  <c r="L85" i="4" s="1"/>
  <c r="H79" i="4"/>
  <c r="K79" i="4" s="1"/>
  <c r="L79" i="4" s="1"/>
  <c r="H49" i="4"/>
  <c r="K49" i="4" s="1"/>
  <c r="L49" i="4" s="1"/>
  <c r="K19" i="4"/>
  <c r="L19" i="4" s="1"/>
  <c r="H89" i="4"/>
  <c r="K89" i="4" s="1"/>
  <c r="L89" i="4" s="1"/>
  <c r="H16" i="4"/>
  <c r="K16" i="4" s="1"/>
  <c r="L16" i="4" s="1"/>
  <c r="H48" i="4"/>
  <c r="K48" i="4" s="1"/>
  <c r="L48" i="4" s="1"/>
  <c r="H84" i="4"/>
  <c r="K84" i="4" s="1"/>
  <c r="L84" i="4" s="1"/>
  <c r="H41" i="4"/>
  <c r="K41" i="4" s="1"/>
  <c r="L41" i="4" s="1"/>
  <c r="H92" i="4"/>
  <c r="K92" i="4" s="1"/>
  <c r="L92" i="4" s="1"/>
  <c r="K129" i="4"/>
  <c r="L129" i="4" s="1"/>
  <c r="K45" i="4"/>
  <c r="L45" i="4" s="1"/>
  <c r="H107" i="4"/>
  <c r="K107" i="4" s="1"/>
  <c r="L107" i="4" s="1"/>
  <c r="H24" i="4"/>
  <c r="K24" i="4" s="1"/>
  <c r="L24" i="4" s="1"/>
  <c r="H99" i="4"/>
  <c r="K99" i="4" s="1"/>
  <c r="L99" i="4" s="1"/>
  <c r="H36" i="4"/>
  <c r="K36" i="4" s="1"/>
  <c r="L36" i="4" s="1"/>
  <c r="H25" i="4"/>
  <c r="K25" i="4" s="1"/>
  <c r="L25" i="4" s="1"/>
  <c r="H73" i="4"/>
  <c r="K73" i="4" s="1"/>
  <c r="L73" i="4" s="1"/>
  <c r="H35" i="4"/>
  <c r="K35" i="4" s="1"/>
  <c r="L35" i="4" s="1"/>
  <c r="H37" i="4"/>
  <c r="K37" i="4" s="1"/>
  <c r="L37" i="4" s="1"/>
  <c r="H60" i="4"/>
  <c r="K60" i="4" s="1"/>
  <c r="L60" i="4" s="1"/>
  <c r="H54" i="4"/>
  <c r="K54" i="4" s="1"/>
  <c r="L54" i="4" s="1"/>
  <c r="H6" i="4"/>
  <c r="K6" i="4" s="1"/>
  <c r="L6" i="4" s="1"/>
  <c r="H115" i="4"/>
  <c r="K115" i="4" s="1"/>
  <c r="L115" i="4" s="1"/>
  <c r="H87" i="4"/>
  <c r="K87" i="4" s="1"/>
  <c r="L87" i="4" s="1"/>
  <c r="H14" i="4"/>
  <c r="K14" i="4" s="1"/>
  <c r="L14" i="4" s="1"/>
  <c r="H93" i="4"/>
  <c r="K93" i="4" s="1"/>
  <c r="L93" i="4" s="1"/>
  <c r="H7" i="4"/>
  <c r="K7" i="4" s="1"/>
  <c r="L7" i="4" s="1"/>
  <c r="K118" i="4"/>
  <c r="L118" i="4" s="1"/>
  <c r="H18" i="4"/>
  <c r="K18" i="4" s="1"/>
  <c r="L18" i="4" s="1"/>
  <c r="H121" i="4"/>
  <c r="K121" i="4" s="1"/>
  <c r="L121" i="4" s="1"/>
  <c r="H94" i="4"/>
  <c r="K94" i="4" s="1"/>
  <c r="L94" i="4" s="1"/>
  <c r="H8" i="4"/>
  <c r="K8" i="4" s="1"/>
  <c r="L8" i="4" s="1"/>
  <c r="H33" i="4"/>
  <c r="K33" i="4" s="1"/>
  <c r="L33" i="4" s="1"/>
  <c r="H109" i="4"/>
  <c r="K109" i="4" s="1"/>
  <c r="L109" i="4" s="1"/>
  <c r="H29" i="4"/>
  <c r="K29" i="4" s="1"/>
  <c r="L29" i="4" s="1"/>
  <c r="H70" i="4"/>
  <c r="K70" i="4" s="1"/>
  <c r="L70" i="4" s="1"/>
  <c r="H76" i="4"/>
  <c r="K76" i="4" s="1"/>
  <c r="L76" i="4" s="1"/>
  <c r="H91" i="4"/>
  <c r="K91" i="4" s="1"/>
  <c r="L91" i="4" s="1"/>
  <c r="H31" i="4"/>
  <c r="K31" i="4" s="1"/>
  <c r="L31" i="4" s="1"/>
  <c r="H124" i="4"/>
  <c r="K124" i="4" s="1"/>
  <c r="L124" i="4" s="1"/>
  <c r="H55" i="4"/>
  <c r="K55" i="4" s="1"/>
  <c r="L55" i="4" s="1"/>
  <c r="H130" i="4"/>
  <c r="K130" i="4" s="1"/>
  <c r="L130" i="4" s="1"/>
  <c r="H125" i="4"/>
  <c r="K125" i="4" s="1"/>
  <c r="L125" i="4" s="1"/>
  <c r="H63" i="4"/>
  <c r="K63" i="4" s="1"/>
  <c r="L63" i="4" s="1"/>
  <c r="H12" i="4"/>
  <c r="K12" i="4" s="1"/>
  <c r="L12" i="4" s="1"/>
  <c r="H56" i="4"/>
  <c r="K56" i="4" s="1"/>
  <c r="L56" i="4" s="1"/>
  <c r="H112" i="4"/>
  <c r="K112" i="4" s="1"/>
  <c r="L112" i="4" s="1"/>
  <c r="H83" i="4"/>
  <c r="K83" i="4" s="1"/>
  <c r="L83" i="4" s="1"/>
  <c r="H71" i="4"/>
  <c r="K71" i="4" s="1"/>
  <c r="L71" i="4" s="1"/>
  <c r="H3" i="4"/>
  <c r="K3" i="4" s="1"/>
  <c r="L3" i="4" s="1"/>
  <c r="H100" i="4"/>
  <c r="K100" i="4" s="1"/>
  <c r="L100" i="4" s="1"/>
  <c r="H52" i="4"/>
  <c r="K52" i="4" s="1"/>
  <c r="L52" i="4" s="1"/>
  <c r="H66" i="4"/>
  <c r="K66" i="4" s="1"/>
  <c r="L66" i="4" s="1"/>
  <c r="H53" i="4"/>
  <c r="K53" i="4" s="1"/>
  <c r="L53" i="4" s="1"/>
  <c r="H131" i="4"/>
  <c r="K131" i="4" s="1"/>
  <c r="L131" i="4" s="1"/>
  <c r="H59" i="4"/>
  <c r="K59" i="4" s="1"/>
  <c r="L59" i="4" s="1"/>
  <c r="H32" i="4"/>
  <c r="K32" i="4" s="1"/>
  <c r="L32" i="4" s="1"/>
  <c r="H28" i="4"/>
  <c r="K28" i="4" s="1"/>
  <c r="L28" i="4" s="1"/>
  <c r="H88" i="4"/>
  <c r="K88" i="4" s="1"/>
  <c r="L88" i="4" s="1"/>
  <c r="H62" i="4"/>
  <c r="K62" i="4" s="1"/>
  <c r="L62" i="4" s="1"/>
  <c r="H75" i="4"/>
  <c r="K75" i="4" s="1"/>
  <c r="L75" i="4" s="1"/>
  <c r="H9" i="4"/>
  <c r="K9" i="4" s="1"/>
  <c r="L9" i="4" s="1"/>
  <c r="H80" i="4"/>
  <c r="K80" i="4" s="1"/>
  <c r="L80" i="4" s="1"/>
  <c r="H123" i="4"/>
  <c r="K123" i="4" s="1"/>
  <c r="L123" i="4" s="1"/>
  <c r="H13" i="4"/>
  <c r="K13" i="4" s="1"/>
  <c r="L13" i="4" s="1"/>
  <c r="H50" i="4"/>
  <c r="K50" i="4" s="1"/>
  <c r="L50" i="4" s="1"/>
  <c r="H51" i="4"/>
  <c r="K51" i="4" s="1"/>
  <c r="L51" i="4" s="1"/>
  <c r="H34" i="4"/>
  <c r="K34" i="4" s="1"/>
  <c r="L34" i="4" s="1"/>
  <c r="H74" i="4"/>
  <c r="K74" i="4" s="1"/>
  <c r="L74" i="4" s="1"/>
  <c r="H38" i="4"/>
  <c r="K38" i="4" s="1"/>
  <c r="L38" i="4" s="1"/>
  <c r="H72" i="4"/>
  <c r="K72" i="4" s="1"/>
  <c r="L72" i="4" s="1"/>
  <c r="H46" i="4"/>
  <c r="K46" i="4" s="1"/>
  <c r="L46" i="4" s="1"/>
  <c r="H43" i="4"/>
  <c r="K43" i="4" s="1"/>
  <c r="L43" i="4" s="1"/>
  <c r="H104" i="4"/>
  <c r="K104" i="4" s="1"/>
  <c r="L104" i="4" s="1"/>
  <c r="H97" i="4"/>
  <c r="K97" i="4" s="1"/>
  <c r="L97" i="4" s="1"/>
  <c r="H106" i="4"/>
  <c r="K106" i="4" s="1"/>
  <c r="L106" i="4" s="1"/>
  <c r="H15" i="4"/>
  <c r="K15" i="4" s="1"/>
  <c r="L15" i="4" s="1"/>
  <c r="H27" i="4"/>
  <c r="K27" i="4" s="1"/>
  <c r="L27" i="4" s="1"/>
  <c r="H26" i="4"/>
  <c r="K26" i="4" s="1"/>
  <c r="L26" i="4" s="1"/>
  <c r="I214" i="2"/>
  <c r="G224" i="2"/>
  <c r="I224" i="2"/>
  <c r="F225" i="2"/>
  <c r="H214" i="2" s="1"/>
  <c r="E225" i="2"/>
  <c r="I3" i="2"/>
  <c r="I223" i="2"/>
  <c r="G223" i="2"/>
  <c r="I222" i="2"/>
  <c r="G222" i="2"/>
  <c r="I221" i="2"/>
  <c r="G221" i="2"/>
  <c r="I220" i="2"/>
  <c r="G220" i="2"/>
  <c r="I219" i="2"/>
  <c r="G219" i="2"/>
  <c r="I217" i="2"/>
  <c r="G217" i="2"/>
  <c r="I216" i="2"/>
  <c r="G216" i="2"/>
  <c r="I213" i="2"/>
  <c r="G213" i="2"/>
  <c r="I212" i="2"/>
  <c r="G212" i="2"/>
  <c r="I206" i="2"/>
  <c r="G206" i="2"/>
  <c r="I211" i="2"/>
  <c r="G211" i="2"/>
  <c r="I205" i="2"/>
  <c r="G205" i="2"/>
  <c r="I204" i="2"/>
  <c r="G204" i="2"/>
  <c r="I209" i="2"/>
  <c r="G209" i="2"/>
  <c r="I210" i="2"/>
  <c r="G210" i="2"/>
  <c r="I203" i="2"/>
  <c r="G203" i="2"/>
  <c r="I208" i="2"/>
  <c r="G208" i="2"/>
  <c r="I196" i="2"/>
  <c r="G196" i="2"/>
  <c r="I202" i="2"/>
  <c r="G202" i="2"/>
  <c r="I199" i="2"/>
  <c r="G199" i="2"/>
  <c r="I207" i="2"/>
  <c r="G207" i="2"/>
  <c r="I194" i="2"/>
  <c r="G194" i="2"/>
  <c r="I184" i="2"/>
  <c r="G184" i="2"/>
  <c r="I181" i="2"/>
  <c r="G181" i="2"/>
  <c r="I201" i="2"/>
  <c r="G201" i="2"/>
  <c r="I187" i="2"/>
  <c r="G187" i="2"/>
  <c r="I193" i="2"/>
  <c r="G193" i="2"/>
  <c r="I189" i="2"/>
  <c r="G189" i="2"/>
  <c r="I197" i="2"/>
  <c r="G197" i="2"/>
  <c r="I195" i="2"/>
  <c r="G195" i="2"/>
  <c r="I183" i="2"/>
  <c r="G183" i="2"/>
  <c r="I174" i="2"/>
  <c r="G174" i="2"/>
  <c r="I172" i="2"/>
  <c r="G172" i="2"/>
  <c r="I200" i="2"/>
  <c r="G200" i="2"/>
  <c r="I186" i="2"/>
  <c r="G186" i="2"/>
  <c r="I177" i="2"/>
  <c r="G177" i="2"/>
  <c r="I156" i="2"/>
  <c r="G156" i="2"/>
  <c r="I198" i="2"/>
  <c r="G198" i="2"/>
  <c r="I149" i="2"/>
  <c r="G149" i="2"/>
  <c r="I171" i="2"/>
  <c r="G171" i="2"/>
  <c r="I188" i="2"/>
  <c r="G188" i="2"/>
  <c r="I176" i="2"/>
  <c r="G176" i="2"/>
  <c r="I157" i="2"/>
  <c r="G157" i="2"/>
  <c r="I185" i="2"/>
  <c r="G185" i="2"/>
  <c r="I152" i="2"/>
  <c r="G152" i="2"/>
  <c r="I147" i="2"/>
  <c r="G147" i="2"/>
  <c r="I175" i="2"/>
  <c r="G175" i="2"/>
  <c r="I191" i="2"/>
  <c r="G191" i="2"/>
  <c r="I165" i="2"/>
  <c r="G165" i="2"/>
  <c r="I164" i="2"/>
  <c r="G164" i="2"/>
  <c r="I182" i="2"/>
  <c r="G182" i="2"/>
  <c r="I178" i="2"/>
  <c r="G178" i="2"/>
  <c r="I190" i="2"/>
  <c r="G190" i="2"/>
  <c r="I192" i="2"/>
  <c r="G192" i="2"/>
  <c r="I169" i="2"/>
  <c r="G169" i="2"/>
  <c r="I128" i="2"/>
  <c r="G128" i="2"/>
  <c r="I143" i="2"/>
  <c r="G143" i="2"/>
  <c r="I180" i="2"/>
  <c r="G180" i="2"/>
  <c r="I162" i="2"/>
  <c r="G162" i="2"/>
  <c r="I150" i="2"/>
  <c r="G150" i="2"/>
  <c r="I135" i="2"/>
  <c r="G135" i="2"/>
  <c r="I173" i="2"/>
  <c r="G173" i="2"/>
  <c r="I144" i="2"/>
  <c r="G144" i="2"/>
  <c r="I159" i="2"/>
  <c r="G159" i="2"/>
  <c r="I163" i="2"/>
  <c r="G163" i="2"/>
  <c r="I119" i="2"/>
  <c r="G119" i="2"/>
  <c r="I145" i="2"/>
  <c r="G145" i="2"/>
  <c r="I161" i="2"/>
  <c r="G161" i="2"/>
  <c r="I146" i="2"/>
  <c r="G146" i="2"/>
  <c r="I148" i="2"/>
  <c r="G148" i="2"/>
  <c r="I127" i="2"/>
  <c r="G127" i="2"/>
  <c r="I151" i="2"/>
  <c r="G151" i="2"/>
  <c r="I170" i="2"/>
  <c r="G170" i="2"/>
  <c r="I166" i="2"/>
  <c r="G166" i="2"/>
  <c r="I168" i="2"/>
  <c r="G168" i="2"/>
  <c r="I132" i="2"/>
  <c r="G132" i="2"/>
  <c r="I137" i="2"/>
  <c r="G137" i="2"/>
  <c r="I93" i="2"/>
  <c r="G93" i="2"/>
  <c r="I112" i="2"/>
  <c r="G112" i="2"/>
  <c r="I153" i="2"/>
  <c r="G153" i="2"/>
  <c r="I179" i="2"/>
  <c r="G179" i="2"/>
  <c r="I117" i="2"/>
  <c r="G117" i="2"/>
  <c r="I154" i="2"/>
  <c r="G154" i="2"/>
  <c r="I136" i="2"/>
  <c r="G136" i="2"/>
  <c r="I125" i="2"/>
  <c r="G125" i="2"/>
  <c r="I155" i="2"/>
  <c r="G155" i="2"/>
  <c r="I139" i="2"/>
  <c r="G139" i="2"/>
  <c r="I131" i="2"/>
  <c r="G131" i="2"/>
  <c r="I160" i="2"/>
  <c r="G160" i="2"/>
  <c r="I113" i="2"/>
  <c r="G113" i="2"/>
  <c r="I126" i="2"/>
  <c r="G126" i="2"/>
  <c r="I134" i="2"/>
  <c r="G134" i="2"/>
  <c r="I158" i="2"/>
  <c r="G158" i="2"/>
  <c r="I138" i="2"/>
  <c r="G138" i="2"/>
  <c r="I106" i="2"/>
  <c r="G106" i="2"/>
  <c r="I167" i="2"/>
  <c r="G167" i="2"/>
  <c r="I85" i="2"/>
  <c r="G85" i="2"/>
  <c r="I68" i="2"/>
  <c r="G68" i="2"/>
  <c r="I141" i="2"/>
  <c r="G141" i="2"/>
  <c r="I110" i="2"/>
  <c r="G110" i="2"/>
  <c r="I114" i="2"/>
  <c r="G114" i="2"/>
  <c r="I111" i="2"/>
  <c r="G111" i="2"/>
  <c r="I130" i="2"/>
  <c r="G130" i="2"/>
  <c r="I129" i="2"/>
  <c r="G129" i="2"/>
  <c r="I77" i="2"/>
  <c r="G77" i="2"/>
  <c r="I118" i="2"/>
  <c r="G118" i="2"/>
  <c r="I86" i="2"/>
  <c r="G86" i="2"/>
  <c r="I115" i="2"/>
  <c r="G115" i="2"/>
  <c r="I121" i="2"/>
  <c r="G121" i="2"/>
  <c r="I96" i="2"/>
  <c r="G96" i="2"/>
  <c r="I142" i="2"/>
  <c r="G142" i="2"/>
  <c r="I122" i="2"/>
  <c r="G122" i="2"/>
  <c r="I133" i="2"/>
  <c r="G133" i="2"/>
  <c r="I102" i="2"/>
  <c r="G102" i="2"/>
  <c r="I92" i="2"/>
  <c r="G92" i="2"/>
  <c r="I120" i="2"/>
  <c r="G120" i="2"/>
  <c r="I76" i="2"/>
  <c r="G76" i="2"/>
  <c r="I83" i="2"/>
  <c r="G83" i="2"/>
  <c r="I101" i="2"/>
  <c r="G101" i="2"/>
  <c r="I63" i="2"/>
  <c r="G63" i="2"/>
  <c r="I140" i="2"/>
  <c r="G140" i="2"/>
  <c r="I90" i="2"/>
  <c r="G90" i="2"/>
  <c r="I104" i="2"/>
  <c r="G104" i="2"/>
  <c r="I108" i="2"/>
  <c r="G108" i="2"/>
  <c r="I91" i="2"/>
  <c r="G91" i="2"/>
  <c r="I94" i="2"/>
  <c r="G94" i="2"/>
  <c r="I109" i="2"/>
  <c r="G109" i="2"/>
  <c r="I65" i="2"/>
  <c r="G65" i="2"/>
  <c r="I124" i="2"/>
  <c r="G124" i="2"/>
  <c r="I81" i="2"/>
  <c r="G81" i="2"/>
  <c r="I69" i="2"/>
  <c r="G69" i="2"/>
  <c r="I62" i="2"/>
  <c r="G62" i="2"/>
  <c r="I88" i="2"/>
  <c r="G88" i="2"/>
  <c r="I61" i="2"/>
  <c r="G61" i="2"/>
  <c r="I116" i="2"/>
  <c r="G116" i="2"/>
  <c r="I100" i="2"/>
  <c r="G100" i="2"/>
  <c r="I105" i="2"/>
  <c r="G105" i="2"/>
  <c r="I53" i="2"/>
  <c r="G53" i="2"/>
  <c r="I103" i="2"/>
  <c r="G103" i="2"/>
  <c r="I95" i="2"/>
  <c r="G95" i="2"/>
  <c r="I66" i="2"/>
  <c r="G66" i="2"/>
  <c r="I87" i="2"/>
  <c r="G87" i="2"/>
  <c r="I89" i="2"/>
  <c r="G89" i="2"/>
  <c r="I84" i="2"/>
  <c r="G84" i="2"/>
  <c r="I67" i="2"/>
  <c r="G67" i="2"/>
  <c r="I107" i="2"/>
  <c r="G107" i="2"/>
  <c r="I123" i="2"/>
  <c r="G123" i="2"/>
  <c r="I70" i="2"/>
  <c r="G70" i="2"/>
  <c r="I57" i="2"/>
  <c r="G57" i="2"/>
  <c r="I58" i="2"/>
  <c r="G58" i="2"/>
  <c r="I80" i="2"/>
  <c r="G80" i="2"/>
  <c r="I54" i="2"/>
  <c r="G54" i="2"/>
  <c r="I46" i="2"/>
  <c r="G46" i="2"/>
  <c r="I56" i="2"/>
  <c r="G56" i="2"/>
  <c r="I59" i="2"/>
  <c r="G59" i="2"/>
  <c r="I47" i="2"/>
  <c r="G47" i="2"/>
  <c r="I74" i="2"/>
  <c r="G74" i="2"/>
  <c r="I79" i="2"/>
  <c r="G79" i="2"/>
  <c r="I44" i="2"/>
  <c r="G44" i="2"/>
  <c r="I73" i="2"/>
  <c r="G73" i="2"/>
  <c r="I82" i="2"/>
  <c r="G82" i="2"/>
  <c r="I72" i="2"/>
  <c r="G72" i="2"/>
  <c r="I35" i="2"/>
  <c r="G35" i="2"/>
  <c r="I43" i="2"/>
  <c r="G43" i="2"/>
  <c r="I98" i="2"/>
  <c r="G98" i="2"/>
  <c r="I78" i="2"/>
  <c r="G78" i="2"/>
  <c r="I45" i="2"/>
  <c r="G45" i="2"/>
  <c r="I55" i="2"/>
  <c r="G55" i="2"/>
  <c r="I99" i="2"/>
  <c r="G99" i="2"/>
  <c r="I60" i="2"/>
  <c r="G60" i="2"/>
  <c r="I37" i="2"/>
  <c r="G37" i="2"/>
  <c r="I31" i="2"/>
  <c r="G31" i="2"/>
  <c r="I71" i="2"/>
  <c r="G71" i="2"/>
  <c r="I97" i="2"/>
  <c r="G97" i="2"/>
  <c r="I75" i="2"/>
  <c r="G75" i="2"/>
  <c r="I48" i="2"/>
  <c r="G48" i="2"/>
  <c r="I50" i="2"/>
  <c r="G50" i="2"/>
  <c r="I52" i="2"/>
  <c r="G52" i="2"/>
  <c r="I21" i="2"/>
  <c r="G21" i="2"/>
  <c r="I40" i="2"/>
  <c r="G40" i="2"/>
  <c r="I64" i="2"/>
  <c r="G64" i="2"/>
  <c r="I38" i="2"/>
  <c r="G38" i="2"/>
  <c r="I36" i="2"/>
  <c r="G36" i="2"/>
  <c r="I34" i="2"/>
  <c r="G34" i="2"/>
  <c r="I32" i="2"/>
  <c r="G32" i="2"/>
  <c r="I49" i="2"/>
  <c r="G49" i="2"/>
  <c r="I20" i="2"/>
  <c r="G20" i="2"/>
  <c r="I39" i="2"/>
  <c r="G39" i="2"/>
  <c r="I30" i="2"/>
  <c r="G30" i="2"/>
  <c r="I16" i="2"/>
  <c r="G16" i="2"/>
  <c r="I10" i="2"/>
  <c r="G10" i="2"/>
  <c r="I29" i="2"/>
  <c r="G29" i="2"/>
  <c r="I51" i="2"/>
  <c r="G51" i="2"/>
  <c r="I42" i="2"/>
  <c r="G42" i="2"/>
  <c r="I23" i="2"/>
  <c r="G23" i="2"/>
  <c r="I22" i="2"/>
  <c r="G22" i="2"/>
  <c r="I19" i="2"/>
  <c r="G19" i="2"/>
  <c r="I33" i="2"/>
  <c r="G33" i="2"/>
  <c r="I24" i="2"/>
  <c r="G24" i="2"/>
  <c r="I18" i="2"/>
  <c r="G18" i="2"/>
  <c r="I41" i="2"/>
  <c r="G41" i="2"/>
  <c r="I28" i="2"/>
  <c r="G28" i="2"/>
  <c r="I12" i="2"/>
  <c r="G12" i="2"/>
  <c r="I15" i="2"/>
  <c r="G15" i="2"/>
  <c r="I26" i="2"/>
  <c r="G26" i="2"/>
  <c r="I27" i="2"/>
  <c r="G27" i="2"/>
  <c r="I25" i="2"/>
  <c r="G25" i="2"/>
  <c r="I8" i="2"/>
  <c r="G8" i="2"/>
  <c r="I13" i="2"/>
  <c r="G13" i="2"/>
  <c r="I7" i="2"/>
  <c r="G7" i="2"/>
  <c r="I9" i="2"/>
  <c r="G9" i="2"/>
  <c r="I17" i="2"/>
  <c r="G17" i="2"/>
  <c r="I11" i="2"/>
  <c r="G11" i="2"/>
  <c r="I14" i="2"/>
  <c r="G14" i="2"/>
  <c r="I6" i="2"/>
  <c r="G6" i="2"/>
  <c r="I215" i="2"/>
  <c r="G215" i="2"/>
  <c r="I5" i="2"/>
  <c r="G5" i="2"/>
  <c r="I218" i="2"/>
  <c r="G218" i="2"/>
  <c r="I4" i="2"/>
  <c r="G4" i="2"/>
  <c r="G214" i="2"/>
  <c r="G3" i="2"/>
  <c r="F227" i="1"/>
  <c r="E227" i="1"/>
  <c r="C226" i="1"/>
  <c r="D226" i="1"/>
  <c r="E226" i="1"/>
  <c r="F226" i="1"/>
  <c r="G226" i="1"/>
  <c r="B226" i="1"/>
  <c r="G4" i="1"/>
  <c r="D137" i="1"/>
  <c r="D103" i="1"/>
  <c r="D193" i="1"/>
  <c r="D201" i="1"/>
  <c r="D168" i="1"/>
  <c r="D94" i="1"/>
  <c r="D75" i="1"/>
  <c r="D119" i="1"/>
  <c r="D13" i="1"/>
  <c r="D29" i="1"/>
  <c r="D28" i="1"/>
  <c r="D57" i="1"/>
  <c r="D169" i="1"/>
  <c r="D46" i="1"/>
  <c r="D107" i="1"/>
  <c r="D186" i="1"/>
  <c r="D38" i="1"/>
  <c r="D8" i="1"/>
  <c r="D105" i="1"/>
  <c r="D148" i="1"/>
  <c r="D58" i="1"/>
  <c r="D130" i="1"/>
  <c r="D73" i="1"/>
  <c r="D108" i="1"/>
  <c r="D97" i="1"/>
  <c r="D157" i="1"/>
  <c r="D149" i="1"/>
  <c r="D161" i="1"/>
  <c r="D155" i="1"/>
  <c r="D181" i="1"/>
  <c r="D101" i="1"/>
  <c r="D20" i="1"/>
  <c r="D209" i="1"/>
  <c r="D90" i="1"/>
  <c r="D198" i="1"/>
  <c r="D36" i="1"/>
  <c r="D27" i="1"/>
  <c r="D10" i="1"/>
  <c r="D113" i="1"/>
  <c r="D12" i="1"/>
  <c r="D80" i="1"/>
  <c r="D61" i="1"/>
  <c r="D76" i="1"/>
  <c r="D213" i="1"/>
  <c r="D91" i="1"/>
  <c r="D53" i="1"/>
  <c r="D69" i="1"/>
  <c r="D72" i="1"/>
  <c r="D41" i="1"/>
  <c r="D212" i="1"/>
  <c r="D116" i="1"/>
  <c r="D96" i="1"/>
  <c r="D23" i="1"/>
  <c r="D99" i="1"/>
  <c r="D89" i="1"/>
  <c r="D6" i="1"/>
  <c r="D83" i="1"/>
  <c r="D178" i="1"/>
  <c r="D45" i="1"/>
  <c r="D74" i="1"/>
  <c r="D66" i="1"/>
  <c r="D182" i="1"/>
  <c r="D154" i="1"/>
  <c r="D163" i="1"/>
  <c r="D86" i="1"/>
  <c r="D42" i="1"/>
  <c r="D26" i="1"/>
  <c r="D85" i="1"/>
  <c r="D47" i="1"/>
  <c r="D88" i="1"/>
  <c r="D106" i="1"/>
  <c r="D59" i="1"/>
  <c r="D4" i="1"/>
  <c r="D172" i="1"/>
  <c r="D160" i="1"/>
  <c r="D9" i="1"/>
  <c r="D43" i="1"/>
  <c r="D25" i="1"/>
  <c r="D132" i="1"/>
  <c r="D32" i="1"/>
  <c r="D82" i="1"/>
  <c r="D183" i="1"/>
  <c r="D54" i="1"/>
  <c r="D134" i="1"/>
  <c r="D48" i="1"/>
  <c r="D195" i="1"/>
  <c r="D64" i="1"/>
  <c r="D19" i="1"/>
  <c r="D44" i="1"/>
  <c r="D39" i="1"/>
  <c r="D109" i="1"/>
  <c r="D190" i="1"/>
  <c r="D33" i="1"/>
  <c r="D141" i="1"/>
  <c r="D16" i="1"/>
  <c r="D124" i="1"/>
  <c r="D111" i="1"/>
  <c r="D93" i="1"/>
  <c r="D164" i="1"/>
  <c r="D125" i="1"/>
  <c r="D176" i="1"/>
  <c r="D166" i="1"/>
  <c r="D84" i="1"/>
  <c r="D143" i="1"/>
  <c r="D138" i="1"/>
  <c r="D120" i="1"/>
  <c r="D104" i="1"/>
  <c r="D100" i="1"/>
  <c r="D40" i="1"/>
  <c r="D142" i="1"/>
  <c r="D60" i="1"/>
  <c r="D31" i="1"/>
  <c r="D24" i="1"/>
  <c r="D51" i="1"/>
  <c r="D144" i="1"/>
  <c r="D114" i="1"/>
  <c r="D129" i="1"/>
  <c r="D11" i="1"/>
  <c r="D150" i="1"/>
  <c r="D55" i="1"/>
  <c r="D37" i="1"/>
  <c r="D81" i="1"/>
  <c r="D77" i="1"/>
  <c r="D165" i="1"/>
  <c r="D192" i="1"/>
  <c r="D70" i="1"/>
  <c r="D49" i="1"/>
  <c r="D71" i="1"/>
  <c r="D17" i="1"/>
  <c r="D189" i="1"/>
  <c r="D185" i="1"/>
  <c r="D203" i="1"/>
  <c r="D156" i="1"/>
  <c r="D30" i="1"/>
  <c r="D102" i="1"/>
  <c r="D95" i="1"/>
  <c r="D22" i="1"/>
  <c r="D123" i="1"/>
  <c r="D180" i="1"/>
  <c r="D14" i="1"/>
  <c r="D98" i="1"/>
  <c r="D174" i="1"/>
  <c r="D184" i="1"/>
  <c r="D139" i="1"/>
  <c r="D63" i="1"/>
  <c r="D177" i="1"/>
  <c r="D126" i="1"/>
  <c r="D79" i="1"/>
  <c r="D112" i="1"/>
  <c r="D171" i="1"/>
  <c r="D52" i="1"/>
  <c r="D133" i="1"/>
  <c r="D151" i="1"/>
  <c r="D5" i="1"/>
  <c r="D121" i="1"/>
  <c r="D68" i="1"/>
  <c r="D92" i="1"/>
  <c r="D173" i="1"/>
  <c r="D131" i="1"/>
  <c r="D56" i="1"/>
  <c r="D191" i="1"/>
  <c r="D196" i="1"/>
  <c r="D216" i="1"/>
  <c r="D152" i="1"/>
  <c r="D7" i="1"/>
  <c r="D187" i="1"/>
  <c r="D218" i="1"/>
  <c r="D78" i="1"/>
  <c r="D136" i="1"/>
  <c r="D50" i="1"/>
  <c r="D223" i="1"/>
  <c r="D210" i="1"/>
  <c r="D208" i="1"/>
  <c r="D200" i="1"/>
  <c r="D204" i="1"/>
  <c r="D153" i="1"/>
  <c r="D170" i="1"/>
  <c r="D179" i="1"/>
  <c r="D158" i="1"/>
  <c r="D21" i="1"/>
  <c r="D167" i="1"/>
  <c r="D122" i="1"/>
  <c r="D175" i="1"/>
  <c r="D211" i="1"/>
  <c r="D214" i="1"/>
  <c r="D145" i="1"/>
  <c r="D67" i="1"/>
  <c r="D18" i="1"/>
  <c r="D206" i="1"/>
  <c r="D110" i="1"/>
  <c r="D118" i="1"/>
  <c r="D15" i="1"/>
  <c r="D147" i="1"/>
  <c r="D117" i="1"/>
  <c r="D146" i="1"/>
  <c r="D62" i="1"/>
  <c r="D159" i="1"/>
  <c r="D35" i="1"/>
  <c r="D199" i="1"/>
  <c r="D202" i="1"/>
  <c r="D207" i="1"/>
  <c r="D188" i="1"/>
  <c r="D127" i="1"/>
  <c r="D128" i="1"/>
  <c r="D205" i="1"/>
  <c r="D87" i="1"/>
  <c r="D65" i="1"/>
  <c r="D219" i="1"/>
  <c r="D140" i="1"/>
  <c r="D225" i="1"/>
  <c r="D222" i="1"/>
  <c r="D34" i="1"/>
  <c r="D220" i="1"/>
  <c r="D194" i="1"/>
  <c r="D221" i="1"/>
  <c r="D224" i="1"/>
  <c r="D215" i="1"/>
  <c r="D135" i="1"/>
  <c r="D115" i="1"/>
  <c r="D217" i="1"/>
  <c r="D162" i="1"/>
  <c r="D197" i="1"/>
  <c r="G137" i="1"/>
  <c r="G103" i="1"/>
  <c r="G193" i="1"/>
  <c r="G201" i="1"/>
  <c r="G168" i="1"/>
  <c r="G94" i="1"/>
  <c r="G75" i="1"/>
  <c r="G119" i="1"/>
  <c r="G13" i="1"/>
  <c r="G29" i="1"/>
  <c r="G28" i="1"/>
  <c r="G57" i="1"/>
  <c r="G169" i="1"/>
  <c r="G46" i="1"/>
  <c r="G107" i="1"/>
  <c r="G186" i="1"/>
  <c r="G38" i="1"/>
  <c r="G8" i="1"/>
  <c r="G105" i="1"/>
  <c r="G148" i="1"/>
  <c r="G58" i="1"/>
  <c r="G130" i="1"/>
  <c r="G73" i="1"/>
  <c r="G108" i="1"/>
  <c r="G97" i="1"/>
  <c r="G157" i="1"/>
  <c r="G149" i="1"/>
  <c r="G161" i="1"/>
  <c r="G155" i="1"/>
  <c r="G181" i="1"/>
  <c r="G101" i="1"/>
  <c r="G20" i="1"/>
  <c r="G209" i="1"/>
  <c r="G90" i="1"/>
  <c r="G198" i="1"/>
  <c r="G36" i="1"/>
  <c r="G27" i="1"/>
  <c r="G10" i="1"/>
  <c r="G113" i="1"/>
  <c r="G12" i="1"/>
  <c r="G80" i="1"/>
  <c r="G61" i="1"/>
  <c r="G76" i="1"/>
  <c r="G213" i="1"/>
  <c r="G91" i="1"/>
  <c r="G53" i="1"/>
  <c r="G69" i="1"/>
  <c r="G72" i="1"/>
  <c r="G41" i="1"/>
  <c r="G212" i="1"/>
  <c r="G116" i="1"/>
  <c r="G96" i="1"/>
  <c r="G23" i="1"/>
  <c r="G99" i="1"/>
  <c r="G89" i="1"/>
  <c r="G6" i="1"/>
  <c r="G83" i="1"/>
  <c r="G178" i="1"/>
  <c r="G45" i="1"/>
  <c r="G74" i="1"/>
  <c r="G66" i="1"/>
  <c r="G182" i="1"/>
  <c r="G154" i="1"/>
  <c r="G163" i="1"/>
  <c r="G86" i="1"/>
  <c r="G42" i="1"/>
  <c r="G26" i="1"/>
  <c r="G85" i="1"/>
  <c r="G47" i="1"/>
  <c r="G88" i="1"/>
  <c r="G106" i="1"/>
  <c r="G59" i="1"/>
  <c r="G172" i="1"/>
  <c r="G160" i="1"/>
  <c r="G9" i="1"/>
  <c r="G43" i="1"/>
  <c r="G25" i="1"/>
  <c r="G132" i="1"/>
  <c r="G32" i="1"/>
  <c r="G82" i="1"/>
  <c r="G183" i="1"/>
  <c r="G54" i="1"/>
  <c r="G134" i="1"/>
  <c r="G48" i="1"/>
  <c r="G195" i="1"/>
  <c r="G64" i="1"/>
  <c r="G19" i="1"/>
  <c r="G44" i="1"/>
  <c r="G39" i="1"/>
  <c r="G109" i="1"/>
  <c r="G190" i="1"/>
  <c r="G33" i="1"/>
  <c r="G141" i="1"/>
  <c r="G16" i="1"/>
  <c r="G124" i="1"/>
  <c r="G111" i="1"/>
  <c r="G93" i="1"/>
  <c r="G164" i="1"/>
  <c r="G125" i="1"/>
  <c r="G176" i="1"/>
  <c r="G166" i="1"/>
  <c r="G84" i="1"/>
  <c r="G143" i="1"/>
  <c r="G138" i="1"/>
  <c r="G120" i="1"/>
  <c r="G104" i="1"/>
  <c r="G100" i="1"/>
  <c r="G40" i="1"/>
  <c r="G142" i="1"/>
  <c r="G60" i="1"/>
  <c r="G31" i="1"/>
  <c r="G24" i="1"/>
  <c r="G51" i="1"/>
  <c r="G144" i="1"/>
  <c r="G114" i="1"/>
  <c r="G129" i="1"/>
  <c r="G11" i="1"/>
  <c r="G150" i="1"/>
  <c r="G55" i="1"/>
  <c r="G37" i="1"/>
  <c r="G81" i="1"/>
  <c r="G77" i="1"/>
  <c r="G165" i="1"/>
  <c r="G192" i="1"/>
  <c r="G70" i="1"/>
  <c r="G49" i="1"/>
  <c r="G71" i="1"/>
  <c r="G17" i="1"/>
  <c r="G189" i="1"/>
  <c r="G185" i="1"/>
  <c r="G203" i="1"/>
  <c r="G156" i="1"/>
  <c r="G30" i="1"/>
  <c r="G102" i="1"/>
  <c r="G95" i="1"/>
  <c r="G22" i="1"/>
  <c r="G123" i="1"/>
  <c r="G180" i="1"/>
  <c r="G14" i="1"/>
  <c r="G98" i="1"/>
  <c r="G174" i="1"/>
  <c r="G184" i="1"/>
  <c r="G139" i="1"/>
  <c r="G63" i="1"/>
  <c r="G177" i="1"/>
  <c r="G126" i="1"/>
  <c r="G79" i="1"/>
  <c r="G112" i="1"/>
  <c r="G171" i="1"/>
  <c r="G52" i="1"/>
  <c r="G133" i="1"/>
  <c r="G151" i="1"/>
  <c r="G5" i="1"/>
  <c r="G121" i="1"/>
  <c r="G68" i="1"/>
  <c r="G92" i="1"/>
  <c r="G173" i="1"/>
  <c r="G131" i="1"/>
  <c r="G56" i="1"/>
  <c r="G191" i="1"/>
  <c r="G196" i="1"/>
  <c r="G216" i="1"/>
  <c r="G152" i="1"/>
  <c r="G7" i="1"/>
  <c r="G187" i="1"/>
  <c r="G218" i="1"/>
  <c r="G78" i="1"/>
  <c r="G136" i="1"/>
  <c r="G50" i="1"/>
  <c r="G223" i="1"/>
  <c r="G210" i="1"/>
  <c r="G208" i="1"/>
  <c r="G200" i="1"/>
  <c r="G204" i="1"/>
  <c r="G153" i="1"/>
  <c r="G170" i="1"/>
  <c r="G179" i="1"/>
  <c r="G158" i="1"/>
  <c r="G21" i="1"/>
  <c r="G167" i="1"/>
  <c r="G122" i="1"/>
  <c r="G175" i="1"/>
  <c r="G211" i="1"/>
  <c r="G214" i="1"/>
  <c r="G145" i="1"/>
  <c r="G67" i="1"/>
  <c r="G18" i="1"/>
  <c r="G206" i="1"/>
  <c r="G110" i="1"/>
  <c r="G118" i="1"/>
  <c r="G15" i="1"/>
  <c r="G147" i="1"/>
  <c r="G117" i="1"/>
  <c r="G146" i="1"/>
  <c r="G62" i="1"/>
  <c r="G159" i="1"/>
  <c r="G35" i="1"/>
  <c r="G199" i="1"/>
  <c r="G202" i="1"/>
  <c r="G207" i="1"/>
  <c r="G188" i="1"/>
  <c r="G127" i="1"/>
  <c r="G128" i="1"/>
  <c r="G205" i="1"/>
  <c r="G87" i="1"/>
  <c r="G65" i="1"/>
  <c r="G219" i="1"/>
  <c r="G140" i="1"/>
  <c r="G225" i="1"/>
  <c r="G222" i="1"/>
  <c r="G34" i="1"/>
  <c r="G220" i="1"/>
  <c r="G194" i="1"/>
  <c r="G221" i="1"/>
  <c r="G224" i="1"/>
  <c r="G215" i="1"/>
  <c r="G135" i="1"/>
  <c r="G115" i="1"/>
  <c r="G217" i="1"/>
  <c r="G162" i="1"/>
  <c r="G197" i="1"/>
  <c r="K214" i="2" l="1"/>
  <c r="K71" i="2"/>
  <c r="K104" i="2"/>
  <c r="K126" i="2"/>
  <c r="K162" i="2"/>
  <c r="K193" i="2"/>
  <c r="K30" i="2"/>
  <c r="K122" i="2"/>
  <c r="K150" i="2"/>
  <c r="K189" i="2"/>
  <c r="K13" i="2"/>
  <c r="K94" i="2"/>
  <c r="H204" i="2"/>
  <c r="H197" i="2"/>
  <c r="H152" i="2"/>
  <c r="H135" i="2"/>
  <c r="H137" i="2"/>
  <c r="H158" i="2"/>
  <c r="H121" i="2"/>
  <c r="H91" i="2"/>
  <c r="H66" i="2"/>
  <c r="H74" i="2"/>
  <c r="K74" i="2" s="1"/>
  <c r="H71" i="2"/>
  <c r="H30" i="2"/>
  <c r="H26" i="2"/>
  <c r="H223" i="2"/>
  <c r="H208" i="2"/>
  <c r="H172" i="2"/>
  <c r="H165" i="2"/>
  <c r="H163" i="2"/>
  <c r="H179" i="2"/>
  <c r="H85" i="2"/>
  <c r="H133" i="2"/>
  <c r="H124" i="2"/>
  <c r="H67" i="2"/>
  <c r="H82" i="2"/>
  <c r="H50" i="2"/>
  <c r="H51" i="2"/>
  <c r="K51" i="2" s="1"/>
  <c r="H13" i="2"/>
  <c r="H219" i="2"/>
  <c r="H207" i="2"/>
  <c r="H156" i="2"/>
  <c r="H190" i="2"/>
  <c r="H146" i="2"/>
  <c r="H125" i="2"/>
  <c r="H114" i="2"/>
  <c r="H76" i="2"/>
  <c r="H88" i="2"/>
  <c r="K88" i="2" s="1"/>
  <c r="H57" i="2"/>
  <c r="H98" i="2"/>
  <c r="H64" i="2"/>
  <c r="H19" i="2"/>
  <c r="H11" i="2"/>
  <c r="H212" i="2"/>
  <c r="H201" i="2"/>
  <c r="H188" i="2"/>
  <c r="H143" i="2"/>
  <c r="H170" i="2"/>
  <c r="H160" i="2"/>
  <c r="H77" i="2"/>
  <c r="H140" i="2"/>
  <c r="H105" i="2"/>
  <c r="H46" i="2"/>
  <c r="H99" i="2"/>
  <c r="H32" i="2"/>
  <c r="H41" i="2"/>
  <c r="H5" i="2"/>
  <c r="K5" i="2" s="1"/>
  <c r="H222" i="2"/>
  <c r="H217" i="2"/>
  <c r="H206" i="2"/>
  <c r="H209" i="2"/>
  <c r="H196" i="2"/>
  <c r="H194" i="2"/>
  <c r="H187" i="2"/>
  <c r="H195" i="2"/>
  <c r="H200" i="2"/>
  <c r="H198" i="2"/>
  <c r="H176" i="2"/>
  <c r="H147" i="2"/>
  <c r="H164" i="2"/>
  <c r="H192" i="2"/>
  <c r="H180" i="2"/>
  <c r="H173" i="2"/>
  <c r="H119" i="2"/>
  <c r="H148" i="2"/>
  <c r="H166" i="2"/>
  <c r="H93" i="2"/>
  <c r="K93" i="2" s="1"/>
  <c r="H117" i="2"/>
  <c r="H155" i="2"/>
  <c r="H113" i="2"/>
  <c r="H138" i="2"/>
  <c r="K138" i="2" s="1"/>
  <c r="H68" i="2"/>
  <c r="H111" i="2"/>
  <c r="H118" i="2"/>
  <c r="H96" i="2"/>
  <c r="H102" i="2"/>
  <c r="H83" i="2"/>
  <c r="H90" i="2"/>
  <c r="H94" i="2"/>
  <c r="H81" i="2"/>
  <c r="H61" i="2"/>
  <c r="H53" i="2"/>
  <c r="H87" i="2"/>
  <c r="H107" i="2"/>
  <c r="K107" i="2" s="1"/>
  <c r="H58" i="2"/>
  <c r="H56" i="2"/>
  <c r="K56" i="2" s="1"/>
  <c r="H79" i="2"/>
  <c r="H72" i="2"/>
  <c r="H78" i="2"/>
  <c r="H60" i="2"/>
  <c r="K60" i="2" s="1"/>
  <c r="H97" i="2"/>
  <c r="H52" i="2"/>
  <c r="H38" i="2"/>
  <c r="H49" i="2"/>
  <c r="H16" i="2"/>
  <c r="H42" i="2"/>
  <c r="H33" i="2"/>
  <c r="H28" i="2"/>
  <c r="H27" i="2"/>
  <c r="H7" i="2"/>
  <c r="H14" i="2"/>
  <c r="H218" i="2"/>
  <c r="H3" i="2"/>
  <c r="H221" i="2"/>
  <c r="K221" i="2" s="1"/>
  <c r="H216" i="2"/>
  <c r="H211" i="2"/>
  <c r="K211" i="2" s="1"/>
  <c r="H210" i="2"/>
  <c r="H202" i="2"/>
  <c r="K202" i="2" s="1"/>
  <c r="H184" i="2"/>
  <c r="H193" i="2"/>
  <c r="H183" i="2"/>
  <c r="H186" i="2"/>
  <c r="K186" i="2" s="1"/>
  <c r="H149" i="2"/>
  <c r="H157" i="2"/>
  <c r="K157" i="2" s="1"/>
  <c r="H175" i="2"/>
  <c r="H182" i="2"/>
  <c r="K182" i="2" s="1"/>
  <c r="H169" i="2"/>
  <c r="H162" i="2"/>
  <c r="H144" i="2"/>
  <c r="H145" i="2"/>
  <c r="K145" i="2" s="1"/>
  <c r="H127" i="2"/>
  <c r="H168" i="2"/>
  <c r="K168" i="2" s="1"/>
  <c r="H112" i="2"/>
  <c r="H154" i="2"/>
  <c r="K154" i="2" s="1"/>
  <c r="H139" i="2"/>
  <c r="H126" i="2"/>
  <c r="H106" i="2"/>
  <c r="H141" i="2"/>
  <c r="K141" i="2" s="1"/>
  <c r="H130" i="2"/>
  <c r="H86" i="2"/>
  <c r="K86" i="2" s="1"/>
  <c r="H142" i="2"/>
  <c r="H92" i="2"/>
  <c r="K92" i="2" s="1"/>
  <c r="H101" i="2"/>
  <c r="H104" i="2"/>
  <c r="H109" i="2"/>
  <c r="H69" i="2"/>
  <c r="H116" i="2"/>
  <c r="H103" i="2"/>
  <c r="H89" i="2"/>
  <c r="K89" i="2" s="1"/>
  <c r="H123" i="2"/>
  <c r="H80" i="2"/>
  <c r="H59" i="2"/>
  <c r="H44" i="2"/>
  <c r="H35" i="2"/>
  <c r="H45" i="2"/>
  <c r="H37" i="2"/>
  <c r="H75" i="2"/>
  <c r="H21" i="2"/>
  <c r="H36" i="2"/>
  <c r="H20" i="2"/>
  <c r="H10" i="2"/>
  <c r="H23" i="2"/>
  <c r="H24" i="2"/>
  <c r="H12" i="2"/>
  <c r="H25" i="2"/>
  <c r="H9" i="2"/>
  <c r="H6" i="2"/>
  <c r="H4" i="2"/>
  <c r="H224" i="2"/>
  <c r="H220" i="2"/>
  <c r="K220" i="2" s="1"/>
  <c r="H213" i="2"/>
  <c r="H205" i="2"/>
  <c r="K205" i="2" s="1"/>
  <c r="H203" i="2"/>
  <c r="H199" i="2"/>
  <c r="K199" i="2" s="1"/>
  <c r="H181" i="2"/>
  <c r="H189" i="2"/>
  <c r="H174" i="2"/>
  <c r="H177" i="2"/>
  <c r="K177" i="2" s="1"/>
  <c r="H171" i="2"/>
  <c r="H185" i="2"/>
  <c r="K185" i="2" s="1"/>
  <c r="H191" i="2"/>
  <c r="H178" i="2"/>
  <c r="K178" i="2" s="1"/>
  <c r="H128" i="2"/>
  <c r="H150" i="2"/>
  <c r="H159" i="2"/>
  <c r="H161" i="2"/>
  <c r="K161" i="2" s="1"/>
  <c r="H151" i="2"/>
  <c r="H132" i="2"/>
  <c r="H153" i="2"/>
  <c r="H136" i="2"/>
  <c r="H131" i="2"/>
  <c r="H134" i="2"/>
  <c r="H167" i="2"/>
  <c r="H110" i="2"/>
  <c r="H129" i="2"/>
  <c r="H115" i="2"/>
  <c r="K115" i="2" s="1"/>
  <c r="H122" i="2"/>
  <c r="H120" i="2"/>
  <c r="H63" i="2"/>
  <c r="H108" i="2"/>
  <c r="H65" i="2"/>
  <c r="K65" i="2" s="1"/>
  <c r="H62" i="2"/>
  <c r="H100" i="2"/>
  <c r="H95" i="2"/>
  <c r="K95" i="2" s="1"/>
  <c r="H84" i="2"/>
  <c r="H70" i="2"/>
  <c r="H54" i="2"/>
  <c r="H47" i="2"/>
  <c r="H73" i="2"/>
  <c r="H43" i="2"/>
  <c r="K43" i="2" s="1"/>
  <c r="H55" i="2"/>
  <c r="H31" i="2"/>
  <c r="H48" i="2"/>
  <c r="H40" i="2"/>
  <c r="H34" i="2"/>
  <c r="H39" i="2"/>
  <c r="H29" i="2"/>
  <c r="H22" i="2"/>
  <c r="H18" i="2"/>
  <c r="H15" i="2"/>
  <c r="H8" i="2"/>
  <c r="H17" i="2"/>
  <c r="H215" i="2"/>
  <c r="K34" i="2" l="1"/>
  <c r="K80" i="2"/>
  <c r="K32" i="2"/>
  <c r="K111" i="2"/>
  <c r="K38" i="2"/>
  <c r="K215" i="2"/>
  <c r="K102" i="2"/>
  <c r="K81" i="2"/>
  <c r="L81" i="2" s="1"/>
  <c r="K84" i="2"/>
  <c r="K79" i="2"/>
  <c r="K97" i="2"/>
  <c r="K39" i="2"/>
  <c r="K28" i="2"/>
  <c r="K218" i="2"/>
  <c r="K59" i="2"/>
  <c r="K37" i="2"/>
  <c r="K10" i="2"/>
  <c r="K11" i="2"/>
  <c r="K217" i="2"/>
  <c r="K209" i="2"/>
  <c r="L209" i="2" s="1"/>
  <c r="K194" i="2"/>
  <c r="K195" i="2"/>
  <c r="K198" i="2"/>
  <c r="K147" i="2"/>
  <c r="L147" i="2" s="1"/>
  <c r="K192" i="2"/>
  <c r="K173" i="2"/>
  <c r="K148" i="2"/>
  <c r="K153" i="2"/>
  <c r="L153" i="2" s="1"/>
  <c r="K131" i="2"/>
  <c r="K167" i="2"/>
  <c r="K129" i="2"/>
  <c r="K120" i="2"/>
  <c r="L120" i="2" s="1"/>
  <c r="K61" i="2"/>
  <c r="K58" i="2"/>
  <c r="K55" i="2"/>
  <c r="K49" i="2"/>
  <c r="L49" i="2" s="1"/>
  <c r="K15" i="2"/>
  <c r="K3" i="2"/>
  <c r="K23" i="2"/>
  <c r="K219" i="2"/>
  <c r="K204" i="2"/>
  <c r="K207" i="2"/>
  <c r="K197" i="2"/>
  <c r="K156" i="2"/>
  <c r="L156" i="2" s="1"/>
  <c r="K152" i="2"/>
  <c r="K190" i="2"/>
  <c r="K135" i="2"/>
  <c r="K146" i="2"/>
  <c r="K137" i="2"/>
  <c r="K125" i="2"/>
  <c r="K158" i="2"/>
  <c r="K114" i="2"/>
  <c r="K121" i="2"/>
  <c r="K76" i="2"/>
  <c r="K109" i="2"/>
  <c r="K116" i="2"/>
  <c r="K67" i="2"/>
  <c r="K82" i="2"/>
  <c r="K50" i="2"/>
  <c r="K24" i="2"/>
  <c r="L24" i="2" s="1"/>
  <c r="K25" i="2"/>
  <c r="K33" i="2"/>
  <c r="K83" i="2"/>
  <c r="K62" i="2"/>
  <c r="L62" i="2" s="1"/>
  <c r="K70" i="2"/>
  <c r="K72" i="2"/>
  <c r="K48" i="2"/>
  <c r="K29" i="2"/>
  <c r="K27" i="2"/>
  <c r="K91" i="2"/>
  <c r="K44" i="2"/>
  <c r="K75" i="2"/>
  <c r="K19" i="2"/>
  <c r="K224" i="2"/>
  <c r="K213" i="2"/>
  <c r="K203" i="2"/>
  <c r="L203" i="2" s="1"/>
  <c r="K181" i="2"/>
  <c r="K174" i="2"/>
  <c r="K171" i="2"/>
  <c r="K191" i="2"/>
  <c r="K128" i="2"/>
  <c r="K159" i="2"/>
  <c r="K151" i="2"/>
  <c r="K117" i="2"/>
  <c r="L117" i="2" s="1"/>
  <c r="K113" i="2"/>
  <c r="K68" i="2"/>
  <c r="K118" i="2"/>
  <c r="K63" i="2"/>
  <c r="K53" i="2"/>
  <c r="K47" i="2"/>
  <c r="K31" i="2"/>
  <c r="K16" i="2"/>
  <c r="L16" i="2" s="1"/>
  <c r="K8" i="2"/>
  <c r="K66" i="2"/>
  <c r="K41" i="2"/>
  <c r="K216" i="2"/>
  <c r="K210" i="2"/>
  <c r="K184" i="2"/>
  <c r="K183" i="2"/>
  <c r="K149" i="2"/>
  <c r="K175" i="2"/>
  <c r="K169" i="2"/>
  <c r="K144" i="2"/>
  <c r="K127" i="2"/>
  <c r="K112" i="2"/>
  <c r="K139" i="2"/>
  <c r="K106" i="2"/>
  <c r="K130" i="2"/>
  <c r="L130" i="2" s="1"/>
  <c r="K142" i="2"/>
  <c r="K101" i="2"/>
  <c r="K124" i="2"/>
  <c r="K105" i="2"/>
  <c r="L105" i="2" s="1"/>
  <c r="K57" i="2"/>
  <c r="K98" i="2"/>
  <c r="K36" i="2"/>
  <c r="K26" i="2"/>
  <c r="K6" i="2"/>
  <c r="K18" i="2"/>
  <c r="K14" i="2"/>
  <c r="K45" i="2"/>
  <c r="L45" i="2" s="1"/>
  <c r="K155" i="2"/>
  <c r="K132" i="2"/>
  <c r="K90" i="2"/>
  <c r="K100" i="2"/>
  <c r="K54" i="2"/>
  <c r="K78" i="2"/>
  <c r="K40" i="2"/>
  <c r="K22" i="2"/>
  <c r="K7" i="2"/>
  <c r="K123" i="2"/>
  <c r="L123" i="2" s="1"/>
  <c r="K35" i="2"/>
  <c r="K64" i="2"/>
  <c r="L64" i="2" s="1"/>
  <c r="K12" i="2"/>
  <c r="K222" i="2"/>
  <c r="L222" i="2" s="1"/>
  <c r="K206" i="2"/>
  <c r="K196" i="2"/>
  <c r="K187" i="2"/>
  <c r="K200" i="2"/>
  <c r="L200" i="2" s="1"/>
  <c r="K176" i="2"/>
  <c r="K164" i="2"/>
  <c r="K180" i="2"/>
  <c r="K119" i="2"/>
  <c r="K166" i="2"/>
  <c r="K136" i="2"/>
  <c r="K134" i="2"/>
  <c r="K110" i="2"/>
  <c r="K96" i="2"/>
  <c r="K108" i="2"/>
  <c r="L108" i="2" s="1"/>
  <c r="K87" i="2"/>
  <c r="K73" i="2"/>
  <c r="L73" i="2" s="1"/>
  <c r="K52" i="2"/>
  <c r="K42" i="2"/>
  <c r="K17" i="2"/>
  <c r="K21" i="2"/>
  <c r="L21" i="2" s="1"/>
  <c r="K223" i="2"/>
  <c r="K212" i="2"/>
  <c r="K208" i="2"/>
  <c r="K201" i="2"/>
  <c r="K172" i="2"/>
  <c r="K188" i="2"/>
  <c r="K165" i="2"/>
  <c r="K143" i="2"/>
  <c r="K163" i="2"/>
  <c r="K170" i="2"/>
  <c r="L170" i="2" s="1"/>
  <c r="K179" i="2"/>
  <c r="K160" i="2"/>
  <c r="K85" i="2"/>
  <c r="K77" i="2"/>
  <c r="K133" i="2"/>
  <c r="K140" i="2"/>
  <c r="K69" i="2"/>
  <c r="K103" i="2"/>
  <c r="K46" i="2"/>
  <c r="K99" i="2"/>
  <c r="L99" i="2" s="1"/>
  <c r="K20" i="2"/>
  <c r="K9" i="2"/>
  <c r="L9" i="2" s="1"/>
  <c r="K4" i="2"/>
  <c r="L78" i="2"/>
  <c r="L13" i="2"/>
  <c r="L44" i="2"/>
  <c r="L85" i="2"/>
  <c r="L132" i="2"/>
  <c r="L179" i="2"/>
  <c r="L224" i="2"/>
  <c r="L19" i="2"/>
  <c r="L88" i="2"/>
  <c r="L104" i="2"/>
  <c r="L135" i="2"/>
  <c r="L3" i="2"/>
  <c r="L82" i="2"/>
  <c r="L206" i="2"/>
  <c r="L8" i="2"/>
  <c r="L139" i="2"/>
  <c r="L56" i="2"/>
  <c r="L10" i="2"/>
  <c r="L61" i="2"/>
  <c r="L79" i="2"/>
  <c r="L163" i="2"/>
  <c r="L23" i="2"/>
  <c r="L96" i="2"/>
  <c r="L172" i="2"/>
  <c r="L4" i="2"/>
  <c r="L48" i="2"/>
  <c r="L27" i="2"/>
  <c r="L161" i="2"/>
  <c r="L220" i="2"/>
  <c r="L33" i="2"/>
  <c r="L204" i="2"/>
  <c r="L83" i="2"/>
  <c r="L151" i="2"/>
  <c r="L159" i="2"/>
  <c r="L187" i="2"/>
  <c r="L184" i="2"/>
  <c r="L205" i="2"/>
  <c r="L35" i="2"/>
  <c r="L141" i="2"/>
  <c r="L30" i="2"/>
  <c r="L76" i="2"/>
  <c r="L113" i="2"/>
  <c r="L80" i="2"/>
  <c r="L17" i="2"/>
  <c r="L52" i="2"/>
  <c r="L171" i="2"/>
  <c r="L155" i="2"/>
  <c r="L221" i="2"/>
  <c r="L34" i="2"/>
  <c r="L194" i="2"/>
  <c r="L213" i="2"/>
  <c r="L165" i="2"/>
  <c r="L41" i="2"/>
  <c r="L55" i="2"/>
  <c r="L218" i="2"/>
  <c r="L95" i="2"/>
  <c r="L142" i="2"/>
  <c r="L90" i="2"/>
  <c r="L211" i="2"/>
  <c r="L28" i="2"/>
  <c r="L43" i="2"/>
  <c r="L162" i="2"/>
  <c r="L87" i="2"/>
  <c r="L102" i="2"/>
  <c r="L109" i="2"/>
  <c r="L124" i="2"/>
  <c r="L168" i="2"/>
  <c r="L175" i="2"/>
  <c r="L215" i="2"/>
  <c r="L5" i="2"/>
  <c r="L36" i="2"/>
  <c r="L60" i="2"/>
  <c r="L152" i="2"/>
  <c r="L185" i="2"/>
  <c r="L12" i="2"/>
  <c r="L20" i="2"/>
  <c r="L47" i="2"/>
  <c r="L210" i="2"/>
  <c r="L97" i="2"/>
  <c r="L193" i="2"/>
  <c r="L166" i="2"/>
  <c r="L223" i="2"/>
  <c r="L101" i="2"/>
  <c r="L11" i="2"/>
  <c r="L202" i="2"/>
  <c r="L110" i="2"/>
  <c r="L183" i="2"/>
  <c r="L15" i="2"/>
  <c r="L122" i="2"/>
  <c r="L191" i="2"/>
  <c r="L148" i="2" l="1"/>
  <c r="L70" i="2"/>
  <c r="L192" i="2"/>
  <c r="L65" i="2"/>
  <c r="L46" i="2"/>
  <c r="L177" i="2"/>
  <c r="L39" i="2"/>
  <c r="L98" i="2"/>
  <c r="L121" i="2"/>
  <c r="L107" i="2"/>
  <c r="L91" i="2"/>
  <c r="L31" i="2"/>
  <c r="L182" i="2"/>
  <c r="L50" i="2"/>
  <c r="L119" i="2"/>
  <c r="L66" i="2"/>
  <c r="L125" i="2"/>
  <c r="L186" i="2"/>
  <c r="L217" i="2"/>
  <c r="L115" i="2"/>
  <c r="L150" i="2"/>
  <c r="L176" i="2"/>
  <c r="L18" i="2"/>
  <c r="L136" i="2"/>
  <c r="L116" i="2"/>
  <c r="L71" i="2"/>
  <c r="L25" i="2"/>
  <c r="L131" i="2"/>
  <c r="L157" i="2"/>
  <c r="L42" i="2"/>
  <c r="L67" i="2"/>
  <c r="L181" i="2"/>
  <c r="L118" i="2"/>
  <c r="L127" i="2"/>
  <c r="L208" i="2"/>
  <c r="L112" i="2"/>
  <c r="L53" i="2"/>
  <c r="L188" i="2"/>
  <c r="L89" i="2"/>
  <c r="L216" i="2"/>
  <c r="L103" i="2"/>
  <c r="L74" i="2"/>
  <c r="L100" i="2"/>
  <c r="L114" i="2"/>
  <c r="L129" i="2"/>
  <c r="L178" i="2"/>
  <c r="L77" i="2"/>
  <c r="L69" i="2"/>
  <c r="L214" i="2"/>
  <c r="L57" i="2"/>
  <c r="L22" i="2"/>
  <c r="L133" i="2"/>
  <c r="L14" i="2"/>
  <c r="L143" i="2"/>
  <c r="L93" i="2"/>
  <c r="L174" i="2"/>
  <c r="L199" i="2"/>
  <c r="L144" i="2"/>
  <c r="L7" i="2"/>
  <c r="L164" i="2"/>
  <c r="L138" i="2"/>
  <c r="L219" i="2"/>
  <c r="L111" i="2"/>
  <c r="L126" i="2"/>
  <c r="L145" i="2"/>
  <c r="L158" i="2"/>
  <c r="L212" i="2"/>
  <c r="L40" i="2"/>
  <c r="L196" i="2"/>
  <c r="L29" i="2"/>
  <c r="L160" i="2"/>
  <c r="L197" i="2"/>
  <c r="L58" i="2"/>
  <c r="L207" i="2"/>
  <c r="L38" i="2"/>
  <c r="L195" i="2"/>
  <c r="L137" i="2"/>
  <c r="L51" i="2"/>
  <c r="L180" i="2"/>
  <c r="L32" i="2"/>
  <c r="L146" i="2"/>
  <c r="L190" i="2"/>
  <c r="L169" i="2"/>
  <c r="L59" i="2"/>
  <c r="L198" i="2"/>
  <c r="L167" i="2"/>
  <c r="L6" i="2"/>
  <c r="L84" i="2"/>
  <c r="L94" i="2"/>
  <c r="L72" i="2"/>
  <c r="L54" i="2"/>
  <c r="L128" i="2"/>
  <c r="L63" i="2"/>
  <c r="L140" i="2"/>
  <c r="L173" i="2"/>
  <c r="L134" i="2"/>
  <c r="L92" i="2"/>
  <c r="L189" i="2"/>
  <c r="L201" i="2"/>
  <c r="L68" i="2"/>
  <c r="L26" i="2"/>
  <c r="L149" i="2"/>
  <c r="L75" i="2"/>
  <c r="L154" i="2"/>
  <c r="L86" i="2"/>
  <c r="L37" i="2"/>
  <c r="L106" i="2"/>
</calcChain>
</file>

<file path=xl/sharedStrings.xml><?xml version="1.0" encoding="utf-8"?>
<sst xmlns="http://schemas.openxmlformats.org/spreadsheetml/2006/main" count="194" uniqueCount="171">
  <si>
    <t>Comparativa</t>
  </si>
  <si>
    <t>Listado Nominal 2018</t>
  </si>
  <si>
    <t>Listado Nominal 2021</t>
  </si>
  <si>
    <t>Sección</t>
  </si>
  <si>
    <t>Votos morena 2018</t>
  </si>
  <si>
    <t>Votos morena 2021</t>
  </si>
  <si>
    <t>Comparativa listado nominal</t>
  </si>
  <si>
    <t>Comparativa votos morena 2018-2021 (60%)</t>
  </si>
  <si>
    <t>Cantidad de Votantes Distrito 10 (Lista Nominal)(15%)</t>
  </si>
  <si>
    <t>Participaciòn Ciudadana 2021</t>
  </si>
  <si>
    <t>Indice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</si>
  <si>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</si>
  <si>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</si>
  <si>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</si>
  <si>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</si>
  <si>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</si>
  <si>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</si>
  <si>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</si>
  <si>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</si>
  <si>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</si>
  <si>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</si>
  <si>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</si>
  <si>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</si>
  <si>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</si>
  <si>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</si>
  <si>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</si>
  <si>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</si>
  <si>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</si>
  <si>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</si>
  <si>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</si>
  <si>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</si>
  <si>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</si>
  <si>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</si>
  <si>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</si>
  <si>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</si>
  <si>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</si>
  <si>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</si>
  <si>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</si>
  <si>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</si>
  <si>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</si>
  <si>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</si>
  <si>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</si>
  <si>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</si>
  <si>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</si>
  <si>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</si>
  <si>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</si>
  <si>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</si>
  <si>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</si>
  <si>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</si>
  <si>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</si>
  <si>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</si>
  <si>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</si>
  <si>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</si>
  <si>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</si>
  <si>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</si>
  <si>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</si>
  <si>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</si>
  <si>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</si>
  <si>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</si>
  <si>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</si>
  <si>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</si>
  <si>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</si>
  <si>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</si>
  <si>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</si>
  <si>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</si>
  <si>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</si>
  <si>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</si>
  <si>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</si>
  <si>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</si>
  <si>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</si>
  <si>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</si>
  <si>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</si>
  <si>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</si>
  <si>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</si>
  <si>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</si>
  <si>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</si>
  <si>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</si>
  <si>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</si>
  <si>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</si>
  <si>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</si>
  <si>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</si>
  <si>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1160</t>
  </si>
  <si>
    <t>1161</t>
  </si>
  <si>
    <t>1191</t>
  </si>
  <si>
    <t>1193</t>
  </si>
  <si>
    <t>1197</t>
  </si>
  <si>
    <t>1198</t>
  </si>
  <si>
    <t>1199</t>
  </si>
  <si>
    <t>1200</t>
  </si>
  <si>
    <t>1201</t>
  </si>
  <si>
    <t>1202</t>
  </si>
  <si>
    <t>1203</t>
  </si>
  <si>
    <t>1204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</si>
  <si>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</si>
  <si>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</si>
  <si>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</si>
  <si>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</si>
  <si>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</si>
  <si>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</si>
  <si>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</si>
  <si>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</si>
  <si>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</si>
  <si>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</si>
  <si>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</si>
  <si>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</si>
  <si>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</si>
  <si>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</si>
  <si>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</si>
  <si>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1239</t>
  </si>
  <si>
    <t>1240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</si>
  <si>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</si>
  <si>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</si>
  <si>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</si>
  <si>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</si>
  <si>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</si>
  <si>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</si>
  <si>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</si>
  <si>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</si>
  <si>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</si>
  <si>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</si>
  <si>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</si>
  <si>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</si>
  <si>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</si>
  <si>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</si>
  <si>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</si>
  <si>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1263</t>
  </si>
  <si>
    <t>1264</t>
  </si>
  <si>
    <t>1266</t>
  </si>
  <si>
    <t>1271</t>
  </si>
  <si>
    <t>1272</t>
  </si>
  <si>
    <t>1277</t>
  </si>
  <si>
    <t>1281</t>
  </si>
  <si>
    <t>1282</t>
  </si>
  <si>
    <t>1283</t>
  </si>
  <si>
    <t>1286</t>
  </si>
  <si>
    <t>1287</t>
  </si>
  <si>
    <t>2677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</si>
  <si>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</si>
  <si>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</si>
  <si>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</si>
  <si>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</si>
  <si>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</si>
  <si>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</si>
  <si>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</si>
  <si>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</si>
  <si>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</si>
  <si>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</si>
  <si>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</si>
  <si>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</si>
  <si>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</si>
  <si>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</si>
  <si>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</si>
  <si>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</si>
  <si>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</si>
  <si>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</si>
  <si>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</si>
  <si>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</si>
  <si>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</si>
  <si>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2729</t>
  </si>
  <si>
    <t>2730</t>
  </si>
  <si>
    <t>1,895</t>
  </si>
  <si>
    <t>1,214</t>
  </si>
  <si>
    <t>2,147</t>
  </si>
  <si>
    <t>1,733</t>
  </si>
  <si>
    <t>1,028</t>
  </si>
  <si>
    <t>Indice CSPV</t>
  </si>
  <si>
    <t>Sección 2018</t>
  </si>
  <si>
    <t>Sección 2021</t>
  </si>
  <si>
    <t>Totales</t>
  </si>
  <si>
    <t>Cantidad de Votantes Distrito 08 (Lista Nominal)(15%)</t>
  </si>
  <si>
    <t>Participación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</si>
</sst>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left" indent="1"/>
    </xf>
    <xf numFmtId="0" fontId="0" fillId="2" borderId="1" xfId="0" applyFill="1" applyBorder="1"/>
    <xf numFmtId="9" fontId="0" fillId="2" borderId="1" xfId="1" applyFont="1" applyFill="1" applyBorder="1"/>
    <xf numFmtId="0" fontId="0" fillId="3" borderId="1" xfId="0" applyFill="1" applyBorder="1" applyAlignment="1">
      <alignment horizontal="left" indent="1"/>
    </xf>
    <xf numFmtId="0" fontId="0" fillId="3" borderId="1" xfId="0" applyFill="1" applyBorder="1"/>
    <xf numFmtId="9" fontId="0" fillId="3" borderId="1" xfId="1" applyFont="1" applyFill="1" applyBorder="1"/>
    <xf numFmtId="0" fontId="0" fillId="4" borderId="1" xfId="0" applyFill="1" applyBorder="1" applyAlignment="1">
      <alignment horizontal="left" indent="1"/>
    </xf>
    <xf numFmtId="0" fontId="0" fillId="4" borderId="1" xfId="0" applyFill="1" applyBorder="1"/>
    <xf numFmtId="9" fontId="0" fillId="4" borderId="1" xfId="1" applyFont="1" applyFill="1" applyBorder="1"/>
    <xf numFmtId="0" fontId="0" fillId="0" borderId="1" xfId="0" applyBorder="1" applyAlignment="1">
      <alignment horizontal="center" vertical="center" wrapText="1"/>
    </xf>
    <xf numFmtId="3" fontId="0" fillId="0" borderId="0" xfId="0" applyNumberFormat="1"/>
    <xf numFmtId="164" fontId="0" fillId="4" borderId="1" xfId="1" applyNumberFormat="1" applyFont="1" applyFill="1" applyBorder="1"/>
    <xf numFmtId="164" fontId="0" fillId="0" borderId="0" xfId="0" applyNumberFormat="1"/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indent="1"/>
    </xf>
    <xf numFmtId="0" fontId="0" fillId="7" borderId="1" xfId="0" applyFill="1" applyBorder="1"/>
    <xf numFmtId="9" fontId="0" fillId="7" borderId="1" xfId="1" applyFont="1" applyFill="1" applyBorder="1"/>
    <xf numFmtId="164" fontId="0" fillId="7" borderId="1" xfId="1" applyNumberFormat="1" applyFont="1" applyFill="1" applyBorder="1"/>
    <xf numFmtId="9" fontId="0" fillId="0" borderId="1" xfId="1" applyFont="1" applyBorder="1"/>
    <xf numFmtId="164" fontId="0" fillId="2" borderId="1" xfId="1" applyNumberFormat="1" applyFont="1" applyFill="1" applyBorder="1"/>
    <xf numFmtId="164" fontId="0" fillId="3" borderId="1" xfId="1" applyNumberFormat="1" applyFont="1" applyFill="1" applyBorder="1"/>
    <xf numFmtId="0" fontId="0" fillId="6" borderId="1" xfId="0" applyFill="1" applyBorder="1" applyAlignment="1">
      <alignment horizontal="center" vertical="center" wrapText="1"/>
    </xf>
    <xf numFmtId="9" fontId="0" fillId="8" borderId="1" xfId="1" applyFont="1" applyFill="1" applyBorder="1"/>
    <xf numFmtId="9" fontId="0" fillId="9" borderId="1" xfId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9" fontId="0" fillId="0" borderId="0" xfId="1" applyFont="1"/>
    <xf numFmtId="164" fontId="0" fillId="0" borderId="0" xfId="1" applyNumberFormat="1" applyFont="1"/>
    <xf numFmtId="165" fontId="0" fillId="0" borderId="0" xfId="2" applyNumberFormat="1" applyFont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1873-6ADD-4456-9EBF-B276E07B0B13}">
  <dimension ref="A3:G227"/>
  <sheetViews>
    <sheetView zoomScale="90" zoomScaleNormal="90" workbookViewId="0">
      <selection activeCell="R25" sqref="R25"/>
    </sheetView>
  </sheetViews>
  <sheetFormatPr baseColWidth="10" defaultRowHeight="15" x14ac:dyDescent="0.25"/>
  <sheetData>
    <row r="3" spans="1:7" x14ac:dyDescent="0.25">
      <c r="A3" s="1" t="s">
        <v>3</v>
      </c>
      <c r="B3" s="1" t="s">
        <v>4</v>
      </c>
      <c r="C3" s="1" t="s">
        <v>5</v>
      </c>
      <c r="D3" s="1" t="s">
        <v>0</v>
      </c>
      <c r="E3" s="1" t="s">
        <v>1</v>
      </c>
      <c r="F3" s="1" t="s">
        <v>2</v>
      </c>
      <c r="G3" s="1" t="s">
        <v>0</v>
      </c>
    </row>
    <row r="4" spans="1:7" x14ac:dyDescent="0.25">
      <c r="A4" s="8">
        <v>1073</v>
      </c>
      <c r="B4" s="9">
        <v>466</v>
      </c>
      <c r="C4" s="9">
        <v>53</v>
      </c>
      <c r="D4" s="10">
        <f t="shared" ref="D4:D67" si="0">(C4/B4)-1</f>
        <v>-0.88626609442060089</v>
      </c>
      <c r="E4" s="9">
        <v>534</v>
      </c>
      <c r="F4" s="9">
        <v>575</v>
      </c>
      <c r="G4" s="10">
        <f>(F4/E4-1)</f>
        <v>7.6779026217228541E-2</v>
      </c>
    </row>
    <row r="5" spans="1:7" x14ac:dyDescent="0.25">
      <c r="A5" s="8">
        <v>1167</v>
      </c>
      <c r="B5" s="9">
        <v>1070</v>
      </c>
      <c r="C5" s="9">
        <v>464</v>
      </c>
      <c r="D5" s="10">
        <f t="shared" si="0"/>
        <v>-0.56635514018691591</v>
      </c>
      <c r="E5" s="9">
        <v>872</v>
      </c>
      <c r="F5" s="9">
        <v>2995</v>
      </c>
      <c r="G5" s="10">
        <f t="shared" ref="G5:G67" si="1">(F5/E5-1)</f>
        <v>2.4346330275229358</v>
      </c>
    </row>
    <row r="6" spans="1:7" x14ac:dyDescent="0.25">
      <c r="A6" s="8">
        <v>1046</v>
      </c>
      <c r="B6" s="9">
        <v>134</v>
      </c>
      <c r="C6" s="9">
        <v>71</v>
      </c>
      <c r="D6" s="10">
        <f t="shared" si="0"/>
        <v>-0.47014925373134331</v>
      </c>
      <c r="E6" s="9">
        <v>644</v>
      </c>
      <c r="F6" s="9">
        <v>608</v>
      </c>
      <c r="G6" s="10">
        <f t="shared" si="1"/>
        <v>-5.5900621118012417E-2</v>
      </c>
    </row>
    <row r="7" spans="1:7" x14ac:dyDescent="0.25">
      <c r="A7" s="8">
        <v>1178</v>
      </c>
      <c r="B7" s="9">
        <v>914</v>
      </c>
      <c r="C7" s="9">
        <v>494</v>
      </c>
      <c r="D7" s="10">
        <f t="shared" si="0"/>
        <v>-0.45951859956236318</v>
      </c>
      <c r="E7" s="9">
        <v>972</v>
      </c>
      <c r="F7" s="9">
        <v>3123</v>
      </c>
      <c r="G7" s="10">
        <f t="shared" si="1"/>
        <v>2.2129629629629628</v>
      </c>
    </row>
    <row r="8" spans="1:7" x14ac:dyDescent="0.25">
      <c r="A8" s="8">
        <v>984</v>
      </c>
      <c r="B8" s="9">
        <v>339</v>
      </c>
      <c r="C8" s="9">
        <v>191</v>
      </c>
      <c r="D8" s="10">
        <f t="shared" si="0"/>
        <v>-0.43657817109144548</v>
      </c>
      <c r="E8" s="9">
        <v>1500</v>
      </c>
      <c r="F8" s="9">
        <v>1707</v>
      </c>
      <c r="G8" s="10">
        <f t="shared" si="1"/>
        <v>0.1379999999999999</v>
      </c>
    </row>
    <row r="9" spans="1:7" x14ac:dyDescent="0.25">
      <c r="A9" s="8">
        <v>1076</v>
      </c>
      <c r="B9" s="9">
        <v>1003</v>
      </c>
      <c r="C9" s="9">
        <v>572</v>
      </c>
      <c r="D9" s="10">
        <f t="shared" si="0"/>
        <v>-0.42971086739780662</v>
      </c>
      <c r="E9" s="9">
        <v>1178</v>
      </c>
      <c r="F9" s="9">
        <v>3348</v>
      </c>
      <c r="G9" s="10">
        <f t="shared" si="1"/>
        <v>1.8421052631578947</v>
      </c>
    </row>
    <row r="10" spans="1:7" x14ac:dyDescent="0.25">
      <c r="A10" s="8">
        <v>1028</v>
      </c>
      <c r="B10" s="9">
        <v>85</v>
      </c>
      <c r="C10" s="9">
        <v>49</v>
      </c>
      <c r="D10" s="10">
        <f t="shared" si="0"/>
        <v>-0.42352941176470593</v>
      </c>
      <c r="E10" s="9">
        <v>383</v>
      </c>
      <c r="F10" s="9">
        <v>412</v>
      </c>
      <c r="G10" s="10">
        <f t="shared" si="1"/>
        <v>7.571801566579639E-2</v>
      </c>
    </row>
    <row r="11" spans="1:7" x14ac:dyDescent="0.25">
      <c r="A11" s="8">
        <v>1118</v>
      </c>
      <c r="B11" s="9">
        <v>129</v>
      </c>
      <c r="C11" s="9">
        <v>77</v>
      </c>
      <c r="D11" s="10">
        <f t="shared" si="0"/>
        <v>-0.4031007751937985</v>
      </c>
      <c r="E11" s="9">
        <v>732</v>
      </c>
      <c r="F11" s="9">
        <v>725</v>
      </c>
      <c r="G11" s="10">
        <f t="shared" si="1"/>
        <v>-9.5628415300545999E-3</v>
      </c>
    </row>
    <row r="12" spans="1:7" x14ac:dyDescent="0.25">
      <c r="A12" s="8">
        <v>1030</v>
      </c>
      <c r="B12" s="9">
        <v>222</v>
      </c>
      <c r="C12" s="9">
        <v>135</v>
      </c>
      <c r="D12" s="10">
        <f t="shared" si="0"/>
        <v>-0.39189189189189189</v>
      </c>
      <c r="E12" s="9">
        <v>881</v>
      </c>
      <c r="F12" s="9">
        <v>934</v>
      </c>
      <c r="G12" s="10">
        <f t="shared" si="1"/>
        <v>6.0158910329171311E-2</v>
      </c>
    </row>
    <row r="13" spans="1:7" x14ac:dyDescent="0.25">
      <c r="A13" s="8">
        <v>975</v>
      </c>
      <c r="B13" s="9">
        <v>87</v>
      </c>
      <c r="C13" s="9">
        <v>53</v>
      </c>
      <c r="D13" s="10">
        <f t="shared" si="0"/>
        <v>-0.39080459770114939</v>
      </c>
      <c r="E13" s="9">
        <v>279</v>
      </c>
      <c r="F13" s="9">
        <v>334</v>
      </c>
      <c r="G13" s="10">
        <f t="shared" si="1"/>
        <v>0.19713261648745517</v>
      </c>
    </row>
    <row r="14" spans="1:7" x14ac:dyDescent="0.25">
      <c r="A14" s="8">
        <v>1140</v>
      </c>
      <c r="B14" s="9">
        <v>174</v>
      </c>
      <c r="C14" s="9">
        <v>107</v>
      </c>
      <c r="D14" s="10">
        <f t="shared" si="0"/>
        <v>-0.38505747126436785</v>
      </c>
      <c r="E14" s="9">
        <v>651</v>
      </c>
      <c r="F14" s="9">
        <v>674</v>
      </c>
      <c r="G14" s="10">
        <f t="shared" si="1"/>
        <v>3.5330261136712782E-2</v>
      </c>
    </row>
    <row r="15" spans="1:7" x14ac:dyDescent="0.25">
      <c r="A15" s="8">
        <v>1231</v>
      </c>
      <c r="B15" s="9">
        <v>207</v>
      </c>
      <c r="C15" s="9">
        <v>129</v>
      </c>
      <c r="D15" s="10">
        <f t="shared" si="0"/>
        <v>-0.37681159420289856</v>
      </c>
      <c r="E15" s="9">
        <v>1194</v>
      </c>
      <c r="F15" s="9">
        <v>1285</v>
      </c>
      <c r="G15" s="10">
        <f t="shared" si="1"/>
        <v>7.6214405360133908E-2</v>
      </c>
    </row>
    <row r="16" spans="1:7" x14ac:dyDescent="0.25">
      <c r="A16" s="8">
        <v>1095</v>
      </c>
      <c r="B16" s="9">
        <v>146</v>
      </c>
      <c r="C16" s="9">
        <v>91</v>
      </c>
      <c r="D16" s="10">
        <f t="shared" si="0"/>
        <v>-0.37671232876712324</v>
      </c>
      <c r="E16" s="9">
        <v>641</v>
      </c>
      <c r="F16" s="9">
        <v>716</v>
      </c>
      <c r="G16" s="10">
        <f t="shared" si="1"/>
        <v>0.11700468018720755</v>
      </c>
    </row>
    <row r="17" spans="1:7" x14ac:dyDescent="0.25">
      <c r="A17" s="8">
        <v>1129</v>
      </c>
      <c r="B17" s="9">
        <v>308</v>
      </c>
      <c r="C17" s="9">
        <v>193</v>
      </c>
      <c r="D17" s="10">
        <f t="shared" si="0"/>
        <v>-0.37337662337662336</v>
      </c>
      <c r="E17" s="9">
        <v>1205</v>
      </c>
      <c r="F17" s="9">
        <v>1202</v>
      </c>
      <c r="G17" s="10">
        <f t="shared" si="1"/>
        <v>-2.4896265560165887E-3</v>
      </c>
    </row>
    <row r="18" spans="1:7" x14ac:dyDescent="0.25">
      <c r="A18" s="8">
        <v>1227</v>
      </c>
      <c r="B18" s="9">
        <v>138</v>
      </c>
      <c r="C18" s="9">
        <v>88</v>
      </c>
      <c r="D18" s="10">
        <f t="shared" si="0"/>
        <v>-0.3623188405797102</v>
      </c>
      <c r="E18" s="9">
        <v>474</v>
      </c>
      <c r="F18" s="9">
        <v>520</v>
      </c>
      <c r="G18" s="10">
        <f t="shared" si="1"/>
        <v>9.704641350210963E-2</v>
      </c>
    </row>
    <row r="19" spans="1:7" x14ac:dyDescent="0.25">
      <c r="A19" s="8">
        <v>1088</v>
      </c>
      <c r="B19" s="9">
        <v>161</v>
      </c>
      <c r="C19" s="9">
        <v>103</v>
      </c>
      <c r="D19" s="10">
        <f t="shared" si="0"/>
        <v>-0.36024844720496896</v>
      </c>
      <c r="E19" s="9">
        <v>729</v>
      </c>
      <c r="F19" s="9">
        <v>754</v>
      </c>
      <c r="G19" s="10">
        <f t="shared" si="1"/>
        <v>3.429355281207136E-2</v>
      </c>
    </row>
    <row r="20" spans="1:7" x14ac:dyDescent="0.25">
      <c r="A20" s="8">
        <v>1022</v>
      </c>
      <c r="B20" s="9">
        <v>106</v>
      </c>
      <c r="C20" s="9">
        <v>68</v>
      </c>
      <c r="D20" s="10">
        <f t="shared" si="0"/>
        <v>-0.35849056603773588</v>
      </c>
      <c r="E20" s="9">
        <v>352</v>
      </c>
      <c r="F20" s="9">
        <v>382</v>
      </c>
      <c r="G20" s="10">
        <f t="shared" si="1"/>
        <v>8.5227272727272707E-2</v>
      </c>
    </row>
    <row r="21" spans="1:7" x14ac:dyDescent="0.25">
      <c r="A21" s="8">
        <v>1196</v>
      </c>
      <c r="B21" s="9">
        <v>670</v>
      </c>
      <c r="C21" s="9">
        <v>430</v>
      </c>
      <c r="D21" s="10">
        <f t="shared" si="0"/>
        <v>-0.35820895522388063</v>
      </c>
      <c r="E21" s="9">
        <v>2554</v>
      </c>
      <c r="F21" s="9">
        <v>2727</v>
      </c>
      <c r="G21" s="10">
        <f t="shared" si="1"/>
        <v>6.7736883320281827E-2</v>
      </c>
    </row>
    <row r="22" spans="1:7" x14ac:dyDescent="0.25">
      <c r="A22" s="8">
        <v>1137</v>
      </c>
      <c r="B22" s="9">
        <v>327</v>
      </c>
      <c r="C22" s="9">
        <v>210</v>
      </c>
      <c r="D22" s="10">
        <f t="shared" si="0"/>
        <v>-0.35779816513761464</v>
      </c>
      <c r="E22" s="9">
        <v>1265</v>
      </c>
      <c r="F22" s="9">
        <v>1337</v>
      </c>
      <c r="G22" s="10">
        <f t="shared" si="1"/>
        <v>5.6916996047430723E-2</v>
      </c>
    </row>
    <row r="23" spans="1:7" x14ac:dyDescent="0.25">
      <c r="A23" s="8">
        <v>1043</v>
      </c>
      <c r="B23" s="9">
        <v>85</v>
      </c>
      <c r="C23" s="9">
        <v>55</v>
      </c>
      <c r="D23" s="10">
        <f t="shared" si="0"/>
        <v>-0.3529411764705882</v>
      </c>
      <c r="E23" s="9">
        <v>422</v>
      </c>
      <c r="F23" s="9">
        <v>433</v>
      </c>
      <c r="G23" s="10">
        <f t="shared" si="1"/>
        <v>2.6066350710900466E-2</v>
      </c>
    </row>
    <row r="24" spans="1:7" x14ac:dyDescent="0.25">
      <c r="A24" s="8">
        <v>1113</v>
      </c>
      <c r="B24" s="9">
        <v>151</v>
      </c>
      <c r="C24" s="9">
        <v>98</v>
      </c>
      <c r="D24" s="10">
        <f t="shared" si="0"/>
        <v>-0.35099337748344372</v>
      </c>
      <c r="E24" s="9">
        <v>771</v>
      </c>
      <c r="F24" s="9">
        <v>855</v>
      </c>
      <c r="G24" s="10">
        <f t="shared" si="1"/>
        <v>0.10894941634241251</v>
      </c>
    </row>
    <row r="25" spans="1:7" x14ac:dyDescent="0.25">
      <c r="A25" s="8">
        <v>1078</v>
      </c>
      <c r="B25" s="9">
        <v>251</v>
      </c>
      <c r="C25" s="9">
        <v>163</v>
      </c>
      <c r="D25" s="10">
        <f t="shared" si="0"/>
        <v>-0.35059760956175301</v>
      </c>
      <c r="E25" s="9">
        <v>1192</v>
      </c>
      <c r="F25" s="9">
        <v>1281</v>
      </c>
      <c r="G25" s="10">
        <f t="shared" si="1"/>
        <v>7.4664429530201248E-2</v>
      </c>
    </row>
    <row r="26" spans="1:7" x14ac:dyDescent="0.25">
      <c r="A26" s="8">
        <v>1067</v>
      </c>
      <c r="B26" s="9">
        <v>195</v>
      </c>
      <c r="C26" s="9">
        <v>127</v>
      </c>
      <c r="D26" s="10">
        <f t="shared" si="0"/>
        <v>-0.3487179487179487</v>
      </c>
      <c r="E26" s="9">
        <v>641</v>
      </c>
      <c r="F26" s="9">
        <v>675</v>
      </c>
      <c r="G26" s="10">
        <f t="shared" si="1"/>
        <v>5.3042121684867327E-2</v>
      </c>
    </row>
    <row r="27" spans="1:7" x14ac:dyDescent="0.25">
      <c r="A27" s="2">
        <v>1027</v>
      </c>
      <c r="B27" s="3">
        <v>64</v>
      </c>
      <c r="C27" s="3">
        <v>42</v>
      </c>
      <c r="D27" s="4">
        <f t="shared" si="0"/>
        <v>-0.34375</v>
      </c>
      <c r="E27" s="3">
        <v>334</v>
      </c>
      <c r="F27" s="3">
        <v>361</v>
      </c>
      <c r="G27" s="4">
        <f t="shared" si="1"/>
        <v>8.083832335329344E-2</v>
      </c>
    </row>
    <row r="28" spans="1:7" x14ac:dyDescent="0.25">
      <c r="A28" s="2">
        <v>977</v>
      </c>
      <c r="B28" s="3">
        <v>166</v>
      </c>
      <c r="C28" s="3">
        <v>109</v>
      </c>
      <c r="D28" s="4">
        <f t="shared" si="0"/>
        <v>-0.34337349397590367</v>
      </c>
      <c r="E28" s="3">
        <v>575</v>
      </c>
      <c r="F28" s="3">
        <v>592</v>
      </c>
      <c r="G28" s="4">
        <f t="shared" si="1"/>
        <v>2.9565217391304355E-2</v>
      </c>
    </row>
    <row r="29" spans="1:7" x14ac:dyDescent="0.25">
      <c r="A29" s="2">
        <v>976</v>
      </c>
      <c r="B29" s="3">
        <v>143</v>
      </c>
      <c r="C29" s="3">
        <v>94</v>
      </c>
      <c r="D29" s="4">
        <f t="shared" si="0"/>
        <v>-0.34265734265734271</v>
      </c>
      <c r="E29" s="3">
        <v>532</v>
      </c>
      <c r="F29" s="3">
        <v>563</v>
      </c>
      <c r="G29" s="4">
        <f t="shared" si="1"/>
        <v>5.8270676691729362E-2</v>
      </c>
    </row>
    <row r="30" spans="1:7" x14ac:dyDescent="0.25">
      <c r="A30" s="2">
        <v>1134</v>
      </c>
      <c r="B30" s="3">
        <v>209</v>
      </c>
      <c r="C30" s="3">
        <v>138</v>
      </c>
      <c r="D30" s="4">
        <f t="shared" si="0"/>
        <v>-0.33971291866028708</v>
      </c>
      <c r="E30" s="3">
        <v>877</v>
      </c>
      <c r="F30" s="3">
        <v>960</v>
      </c>
      <c r="G30" s="4">
        <f t="shared" si="1"/>
        <v>9.464082098061577E-2</v>
      </c>
    </row>
    <row r="31" spans="1:7" x14ac:dyDescent="0.25">
      <c r="A31" s="2">
        <v>1112</v>
      </c>
      <c r="B31" s="3">
        <v>212</v>
      </c>
      <c r="C31" s="3">
        <v>140</v>
      </c>
      <c r="D31" s="4">
        <f t="shared" si="0"/>
        <v>-0.339622641509434</v>
      </c>
      <c r="E31" s="3">
        <v>981</v>
      </c>
      <c r="F31" s="3">
        <v>1069</v>
      </c>
      <c r="G31" s="4">
        <f t="shared" si="1"/>
        <v>8.9704383282364963E-2</v>
      </c>
    </row>
    <row r="32" spans="1:7" x14ac:dyDescent="0.25">
      <c r="A32" s="2">
        <v>1080</v>
      </c>
      <c r="B32" s="3">
        <v>74</v>
      </c>
      <c r="C32" s="3">
        <v>49</v>
      </c>
      <c r="D32" s="4">
        <f t="shared" si="0"/>
        <v>-0.33783783783783783</v>
      </c>
      <c r="E32" s="3">
        <v>504</v>
      </c>
      <c r="F32" s="3">
        <v>534</v>
      </c>
      <c r="G32" s="4">
        <f t="shared" si="1"/>
        <v>5.9523809523809534E-2</v>
      </c>
    </row>
    <row r="33" spans="1:7" x14ac:dyDescent="0.25">
      <c r="A33" s="2">
        <v>1093</v>
      </c>
      <c r="B33" s="3">
        <v>356</v>
      </c>
      <c r="C33" s="3">
        <v>236</v>
      </c>
      <c r="D33" s="4">
        <f t="shared" si="0"/>
        <v>-0.3370786516853933</v>
      </c>
      <c r="E33" s="3">
        <v>1447</v>
      </c>
      <c r="F33" s="3">
        <v>1555</v>
      </c>
      <c r="G33" s="4">
        <f t="shared" si="1"/>
        <v>7.4637180373186007E-2</v>
      </c>
    </row>
    <row r="34" spans="1:7" x14ac:dyDescent="0.25">
      <c r="A34" s="2">
        <v>1275</v>
      </c>
      <c r="B34" s="3">
        <v>60</v>
      </c>
      <c r="C34" s="3">
        <v>40</v>
      </c>
      <c r="D34" s="4">
        <f t="shared" si="0"/>
        <v>-0.33333333333333337</v>
      </c>
      <c r="E34" s="3">
        <v>486</v>
      </c>
      <c r="F34" s="3">
        <v>567</v>
      </c>
      <c r="G34" s="4">
        <f t="shared" si="1"/>
        <v>0.16666666666666674</v>
      </c>
    </row>
    <row r="35" spans="1:7" x14ac:dyDescent="0.25">
      <c r="A35" s="2">
        <v>1237</v>
      </c>
      <c r="B35" s="3">
        <v>218</v>
      </c>
      <c r="C35" s="3">
        <v>146</v>
      </c>
      <c r="D35" s="4">
        <f t="shared" si="0"/>
        <v>-0.33027522935779818</v>
      </c>
      <c r="E35" s="3">
        <v>1226</v>
      </c>
      <c r="F35" s="3">
        <v>1374</v>
      </c>
      <c r="G35" s="4">
        <f t="shared" si="1"/>
        <v>0.12071778140293632</v>
      </c>
    </row>
    <row r="36" spans="1:7" x14ac:dyDescent="0.25">
      <c r="A36" s="2">
        <v>1026</v>
      </c>
      <c r="B36" s="3">
        <v>119</v>
      </c>
      <c r="C36" s="3">
        <v>80</v>
      </c>
      <c r="D36" s="4">
        <f t="shared" si="0"/>
        <v>-0.32773109243697474</v>
      </c>
      <c r="E36" s="3">
        <v>561</v>
      </c>
      <c r="F36" s="3">
        <v>583</v>
      </c>
      <c r="G36" s="4">
        <f t="shared" si="1"/>
        <v>3.9215686274509887E-2</v>
      </c>
    </row>
    <row r="37" spans="1:7" x14ac:dyDescent="0.25">
      <c r="A37" s="2">
        <v>1121</v>
      </c>
      <c r="B37" s="3">
        <v>255</v>
      </c>
      <c r="C37" s="3">
        <v>173</v>
      </c>
      <c r="D37" s="4">
        <f t="shared" si="0"/>
        <v>-0.32156862745098036</v>
      </c>
      <c r="E37" s="3">
        <v>1091</v>
      </c>
      <c r="F37" s="3">
        <v>1137</v>
      </c>
      <c r="G37" s="4">
        <f t="shared" si="1"/>
        <v>4.2163153070577497E-2</v>
      </c>
    </row>
    <row r="38" spans="1:7" x14ac:dyDescent="0.25">
      <c r="A38" s="2">
        <v>983</v>
      </c>
      <c r="B38" s="3">
        <v>352</v>
      </c>
      <c r="C38" s="3">
        <v>240</v>
      </c>
      <c r="D38" s="4">
        <f t="shared" si="0"/>
        <v>-0.31818181818181823</v>
      </c>
      <c r="E38" s="3">
        <v>1812</v>
      </c>
      <c r="F38" s="3">
        <v>1977</v>
      </c>
      <c r="G38" s="4">
        <f t="shared" si="1"/>
        <v>9.1059602649006699E-2</v>
      </c>
    </row>
    <row r="39" spans="1:7" x14ac:dyDescent="0.25">
      <c r="A39" s="2">
        <v>1090</v>
      </c>
      <c r="B39" s="3">
        <v>155</v>
      </c>
      <c r="C39" s="3">
        <v>106</v>
      </c>
      <c r="D39" s="4">
        <f t="shared" si="0"/>
        <v>-0.31612903225806455</v>
      </c>
      <c r="E39" s="3">
        <v>554</v>
      </c>
      <c r="F39" s="3">
        <v>576</v>
      </c>
      <c r="G39" s="4">
        <f t="shared" si="1"/>
        <v>3.971119133573997E-2</v>
      </c>
    </row>
    <row r="40" spans="1:7" x14ac:dyDescent="0.25">
      <c r="A40" s="2">
        <v>1109</v>
      </c>
      <c r="B40" s="3">
        <v>231</v>
      </c>
      <c r="C40" s="3">
        <v>158</v>
      </c>
      <c r="D40" s="4">
        <f t="shared" si="0"/>
        <v>-0.31601731601731597</v>
      </c>
      <c r="E40" s="3">
        <v>936</v>
      </c>
      <c r="F40" s="3">
        <v>1011</v>
      </c>
      <c r="G40" s="4">
        <f t="shared" si="1"/>
        <v>8.0128205128205066E-2</v>
      </c>
    </row>
    <row r="41" spans="1:7" x14ac:dyDescent="0.25">
      <c r="A41" s="2">
        <v>1039</v>
      </c>
      <c r="B41" s="3">
        <v>299</v>
      </c>
      <c r="C41" s="3">
        <v>205</v>
      </c>
      <c r="D41" s="4">
        <f t="shared" si="0"/>
        <v>-0.31438127090301005</v>
      </c>
      <c r="E41" s="3">
        <v>1290</v>
      </c>
      <c r="F41" s="3">
        <v>1365</v>
      </c>
      <c r="G41" s="4">
        <f t="shared" si="1"/>
        <v>5.8139534883721034E-2</v>
      </c>
    </row>
    <row r="42" spans="1:7" x14ac:dyDescent="0.25">
      <c r="A42" s="2">
        <v>1066</v>
      </c>
      <c r="B42" s="3">
        <v>226</v>
      </c>
      <c r="C42" s="3">
        <v>155</v>
      </c>
      <c r="D42" s="4">
        <f t="shared" si="0"/>
        <v>-0.31415929203539827</v>
      </c>
      <c r="E42" s="3">
        <v>929</v>
      </c>
      <c r="F42" s="3">
        <v>1030</v>
      </c>
      <c r="G42" s="4">
        <f t="shared" si="1"/>
        <v>0.10871905274488691</v>
      </c>
    </row>
    <row r="43" spans="1:7" x14ac:dyDescent="0.25">
      <c r="A43" s="2">
        <v>1077</v>
      </c>
      <c r="B43" s="3">
        <v>296</v>
      </c>
      <c r="C43" s="3">
        <v>204</v>
      </c>
      <c r="D43" s="4">
        <f t="shared" si="0"/>
        <v>-0.31081081081081086</v>
      </c>
      <c r="E43" s="3">
        <v>1408</v>
      </c>
      <c r="F43" s="3">
        <v>1436</v>
      </c>
      <c r="G43" s="4">
        <f t="shared" si="1"/>
        <v>1.9886363636363535E-2</v>
      </c>
    </row>
    <row r="44" spans="1:7" x14ac:dyDescent="0.25">
      <c r="A44" s="2">
        <v>1089</v>
      </c>
      <c r="B44" s="3">
        <v>246</v>
      </c>
      <c r="C44" s="3">
        <v>170</v>
      </c>
      <c r="D44" s="4">
        <f t="shared" si="0"/>
        <v>-0.30894308943089432</v>
      </c>
      <c r="E44" s="3">
        <v>925</v>
      </c>
      <c r="F44" s="3">
        <v>981</v>
      </c>
      <c r="G44" s="4">
        <f t="shared" si="1"/>
        <v>6.0540540540540588E-2</v>
      </c>
    </row>
    <row r="45" spans="1:7" x14ac:dyDescent="0.25">
      <c r="A45" s="2">
        <v>1049</v>
      </c>
      <c r="B45" s="3">
        <v>191</v>
      </c>
      <c r="C45" s="3">
        <v>132</v>
      </c>
      <c r="D45" s="4">
        <f t="shared" si="0"/>
        <v>-0.30890052356020947</v>
      </c>
      <c r="E45" s="3">
        <v>724</v>
      </c>
      <c r="F45" s="3">
        <v>747</v>
      </c>
      <c r="G45" s="4">
        <f t="shared" si="1"/>
        <v>3.176795580110503E-2</v>
      </c>
    </row>
    <row r="46" spans="1:7" x14ac:dyDescent="0.25">
      <c r="A46" s="2">
        <v>980</v>
      </c>
      <c r="B46" s="3">
        <v>451</v>
      </c>
      <c r="C46" s="3">
        <v>312</v>
      </c>
      <c r="D46" s="4">
        <f t="shared" si="0"/>
        <v>-0.30820399113082042</v>
      </c>
      <c r="E46" s="3">
        <v>2692</v>
      </c>
      <c r="F46" s="3">
        <v>3034</v>
      </c>
      <c r="G46" s="4">
        <f t="shared" si="1"/>
        <v>0.12704309063893016</v>
      </c>
    </row>
    <row r="47" spans="1:7" x14ac:dyDescent="0.25">
      <c r="A47" s="2">
        <v>1069</v>
      </c>
      <c r="B47" s="3">
        <v>122</v>
      </c>
      <c r="C47" s="3">
        <v>85</v>
      </c>
      <c r="D47" s="4">
        <f t="shared" si="0"/>
        <v>-0.30327868852459017</v>
      </c>
      <c r="E47" s="3">
        <v>487</v>
      </c>
      <c r="F47" s="3">
        <v>498</v>
      </c>
      <c r="G47" s="4">
        <f t="shared" si="1"/>
        <v>2.2587268993839782E-2</v>
      </c>
    </row>
    <row r="48" spans="1:7" x14ac:dyDescent="0.25">
      <c r="A48" s="2">
        <v>1085</v>
      </c>
      <c r="B48" s="3">
        <v>357</v>
      </c>
      <c r="C48" s="3">
        <v>249</v>
      </c>
      <c r="D48" s="4">
        <f t="shared" si="0"/>
        <v>-0.30252100840336138</v>
      </c>
      <c r="E48" s="3">
        <v>1269</v>
      </c>
      <c r="F48" s="3">
        <v>1363</v>
      </c>
      <c r="G48" s="4">
        <f t="shared" si="1"/>
        <v>7.4074074074074181E-2</v>
      </c>
    </row>
    <row r="49" spans="1:7" x14ac:dyDescent="0.25">
      <c r="A49" s="2">
        <v>1127</v>
      </c>
      <c r="B49" s="3">
        <v>182</v>
      </c>
      <c r="C49" s="3">
        <v>127</v>
      </c>
      <c r="D49" s="4">
        <f t="shared" si="0"/>
        <v>-0.30219780219780223</v>
      </c>
      <c r="E49" s="3">
        <v>811</v>
      </c>
      <c r="F49" s="3">
        <v>899</v>
      </c>
      <c r="G49" s="4">
        <f t="shared" si="1"/>
        <v>0.10850801479654737</v>
      </c>
    </row>
    <row r="50" spans="1:7" x14ac:dyDescent="0.25">
      <c r="A50" s="2">
        <v>1183</v>
      </c>
      <c r="B50" s="3">
        <v>120</v>
      </c>
      <c r="C50" s="3">
        <v>84</v>
      </c>
      <c r="D50" s="4">
        <f t="shared" si="0"/>
        <v>-0.30000000000000004</v>
      </c>
      <c r="E50" s="3">
        <v>750</v>
      </c>
      <c r="F50" s="3">
        <v>790</v>
      </c>
      <c r="G50" s="4">
        <f t="shared" si="1"/>
        <v>5.3333333333333233E-2</v>
      </c>
    </row>
    <row r="51" spans="1:7" x14ac:dyDescent="0.25">
      <c r="A51" s="2">
        <v>1114</v>
      </c>
      <c r="B51" s="3">
        <v>141</v>
      </c>
      <c r="C51" s="3">
        <v>99</v>
      </c>
      <c r="D51" s="4">
        <f t="shared" si="0"/>
        <v>-0.2978723404255319</v>
      </c>
      <c r="E51" s="3">
        <v>865</v>
      </c>
      <c r="F51" s="3">
        <v>950</v>
      </c>
      <c r="G51" s="4">
        <f t="shared" si="1"/>
        <v>9.8265895953757232E-2</v>
      </c>
    </row>
    <row r="52" spans="1:7" x14ac:dyDescent="0.25">
      <c r="A52" s="2">
        <v>1164</v>
      </c>
      <c r="B52" s="3">
        <v>370</v>
      </c>
      <c r="C52" s="3">
        <v>260</v>
      </c>
      <c r="D52" s="4">
        <f t="shared" si="0"/>
        <v>-0.29729729729729726</v>
      </c>
      <c r="E52" s="3">
        <v>1425</v>
      </c>
      <c r="F52" s="3">
        <v>1541</v>
      </c>
      <c r="G52" s="4">
        <f t="shared" si="1"/>
        <v>8.1403508771929811E-2</v>
      </c>
    </row>
    <row r="53" spans="1:7" x14ac:dyDescent="0.25">
      <c r="A53" s="2">
        <v>1036</v>
      </c>
      <c r="B53" s="3">
        <v>988</v>
      </c>
      <c r="C53" s="3">
        <v>698</v>
      </c>
      <c r="D53" s="4">
        <f t="shared" si="0"/>
        <v>-0.29352226720647778</v>
      </c>
      <c r="E53" s="3">
        <v>5263</v>
      </c>
      <c r="F53" s="3">
        <v>6069</v>
      </c>
      <c r="G53" s="4">
        <f t="shared" si="1"/>
        <v>0.15314459433783023</v>
      </c>
    </row>
    <row r="54" spans="1:7" x14ac:dyDescent="0.25">
      <c r="A54" s="2">
        <v>1083</v>
      </c>
      <c r="B54" s="3">
        <v>114</v>
      </c>
      <c r="C54" s="3">
        <v>81</v>
      </c>
      <c r="D54" s="4">
        <f t="shared" si="0"/>
        <v>-0.28947368421052633</v>
      </c>
      <c r="E54" s="3">
        <v>660</v>
      </c>
      <c r="F54" s="3">
        <v>668</v>
      </c>
      <c r="G54" s="4">
        <f t="shared" si="1"/>
        <v>1.2121212121212199E-2</v>
      </c>
    </row>
    <row r="55" spans="1:7" x14ac:dyDescent="0.25">
      <c r="A55" s="2">
        <v>1120</v>
      </c>
      <c r="B55" s="3">
        <v>166</v>
      </c>
      <c r="C55" s="3">
        <v>118</v>
      </c>
      <c r="D55" s="4">
        <f t="shared" si="0"/>
        <v>-0.28915662650602414</v>
      </c>
      <c r="E55" s="3">
        <v>944</v>
      </c>
      <c r="F55" s="3">
        <v>1006</v>
      </c>
      <c r="G55" s="4">
        <f t="shared" si="1"/>
        <v>6.5677966101694851E-2</v>
      </c>
    </row>
    <row r="56" spans="1:7" x14ac:dyDescent="0.25">
      <c r="A56" s="2">
        <v>1173</v>
      </c>
      <c r="B56" s="3">
        <v>108</v>
      </c>
      <c r="C56" s="3">
        <v>77</v>
      </c>
      <c r="D56" s="4">
        <f t="shared" si="0"/>
        <v>-0.28703703703703709</v>
      </c>
      <c r="E56" s="3">
        <v>569</v>
      </c>
      <c r="F56" s="3">
        <v>611</v>
      </c>
      <c r="G56" s="4">
        <f t="shared" si="1"/>
        <v>7.381370826010536E-2</v>
      </c>
    </row>
    <row r="57" spans="1:7" x14ac:dyDescent="0.25">
      <c r="A57" s="2">
        <v>978</v>
      </c>
      <c r="B57" s="3">
        <v>741</v>
      </c>
      <c r="C57" s="3">
        <v>529</v>
      </c>
      <c r="D57" s="4">
        <f t="shared" si="0"/>
        <v>-0.2860998650472335</v>
      </c>
      <c r="E57" s="3">
        <v>2961</v>
      </c>
      <c r="F57" s="3">
        <v>3274</v>
      </c>
      <c r="G57" s="4">
        <f t="shared" si="1"/>
        <v>0.10570753123944621</v>
      </c>
    </row>
    <row r="58" spans="1:7" x14ac:dyDescent="0.25">
      <c r="A58" s="2">
        <v>987</v>
      </c>
      <c r="B58" s="3">
        <v>154</v>
      </c>
      <c r="C58" s="3">
        <v>110</v>
      </c>
      <c r="D58" s="4">
        <f t="shared" si="0"/>
        <v>-0.2857142857142857</v>
      </c>
      <c r="E58" s="3">
        <v>600</v>
      </c>
      <c r="F58" s="3">
        <v>646</v>
      </c>
      <c r="G58" s="4">
        <f t="shared" si="1"/>
        <v>7.6666666666666661E-2</v>
      </c>
    </row>
    <row r="59" spans="1:7" x14ac:dyDescent="0.25">
      <c r="A59" s="2">
        <v>1072</v>
      </c>
      <c r="B59" s="3">
        <v>119</v>
      </c>
      <c r="C59" s="3">
        <v>85</v>
      </c>
      <c r="D59" s="4">
        <f t="shared" si="0"/>
        <v>-0.2857142857142857</v>
      </c>
      <c r="E59" s="3">
        <v>643</v>
      </c>
      <c r="F59" s="3">
        <v>662</v>
      </c>
      <c r="G59" s="4">
        <f t="shared" si="1"/>
        <v>2.9548989113530322E-2</v>
      </c>
    </row>
    <row r="60" spans="1:7" x14ac:dyDescent="0.25">
      <c r="A60" s="2">
        <v>1111</v>
      </c>
      <c r="B60" s="3">
        <v>168</v>
      </c>
      <c r="C60" s="3">
        <v>120</v>
      </c>
      <c r="D60" s="4">
        <f t="shared" si="0"/>
        <v>-0.2857142857142857</v>
      </c>
      <c r="E60" s="3">
        <v>1076</v>
      </c>
      <c r="F60" s="3">
        <v>1164</v>
      </c>
      <c r="G60" s="4">
        <f t="shared" si="1"/>
        <v>8.1784386617100413E-2</v>
      </c>
    </row>
    <row r="61" spans="1:7" x14ac:dyDescent="0.25">
      <c r="A61" s="2">
        <v>1032</v>
      </c>
      <c r="B61" s="3">
        <v>228</v>
      </c>
      <c r="C61" s="3">
        <v>163</v>
      </c>
      <c r="D61" s="4">
        <f t="shared" si="0"/>
        <v>-0.28508771929824561</v>
      </c>
      <c r="E61" s="3">
        <v>1012</v>
      </c>
      <c r="F61" s="3">
        <v>1063</v>
      </c>
      <c r="G61" s="4">
        <f t="shared" si="1"/>
        <v>5.039525691699609E-2</v>
      </c>
    </row>
    <row r="62" spans="1:7" x14ac:dyDescent="0.25">
      <c r="A62" s="2">
        <v>1235</v>
      </c>
      <c r="B62" s="3">
        <v>288</v>
      </c>
      <c r="C62" s="3">
        <v>206</v>
      </c>
      <c r="D62" s="4">
        <f t="shared" si="0"/>
        <v>-0.28472222222222221</v>
      </c>
      <c r="E62" s="3">
        <v>1476</v>
      </c>
      <c r="F62" s="3">
        <v>1557</v>
      </c>
      <c r="G62" s="4">
        <f t="shared" si="1"/>
        <v>5.4878048780487854E-2</v>
      </c>
    </row>
    <row r="63" spans="1:7" x14ac:dyDescent="0.25">
      <c r="A63" s="2">
        <v>1156</v>
      </c>
      <c r="B63" s="3">
        <v>148</v>
      </c>
      <c r="C63" s="3">
        <v>106</v>
      </c>
      <c r="D63" s="4">
        <f t="shared" si="0"/>
        <v>-0.28378378378378377</v>
      </c>
      <c r="E63" s="3">
        <v>459</v>
      </c>
      <c r="F63" s="3">
        <v>501</v>
      </c>
      <c r="G63" s="4">
        <f t="shared" si="1"/>
        <v>9.1503267973856106E-2</v>
      </c>
    </row>
    <row r="64" spans="1:7" x14ac:dyDescent="0.25">
      <c r="A64" s="2">
        <v>1087</v>
      </c>
      <c r="B64" s="3">
        <v>261</v>
      </c>
      <c r="C64" s="3">
        <v>187</v>
      </c>
      <c r="D64" s="4">
        <f t="shared" si="0"/>
        <v>-0.28352490421455934</v>
      </c>
      <c r="E64" s="3">
        <v>1110</v>
      </c>
      <c r="F64" s="3">
        <v>1153</v>
      </c>
      <c r="G64" s="4">
        <f t="shared" si="1"/>
        <v>3.8738738738738787E-2</v>
      </c>
    </row>
    <row r="65" spans="1:7" x14ac:dyDescent="0.25">
      <c r="A65" s="2">
        <v>1268</v>
      </c>
      <c r="B65" s="3">
        <v>2251</v>
      </c>
      <c r="C65" s="3">
        <v>1615</v>
      </c>
      <c r="D65" s="4">
        <f t="shared" si="0"/>
        <v>-0.2825410928476233</v>
      </c>
      <c r="E65" s="3">
        <v>9063</v>
      </c>
      <c r="F65" s="3">
        <v>10751</v>
      </c>
      <c r="G65" s="4">
        <f t="shared" si="1"/>
        <v>0.18625179300452399</v>
      </c>
    </row>
    <row r="66" spans="1:7" x14ac:dyDescent="0.25">
      <c r="A66" s="2">
        <v>1051</v>
      </c>
      <c r="B66" s="3">
        <v>277</v>
      </c>
      <c r="C66" s="3">
        <v>199</v>
      </c>
      <c r="D66" s="4">
        <f t="shared" si="0"/>
        <v>-0.28158844765342961</v>
      </c>
      <c r="E66" s="3">
        <v>1078</v>
      </c>
      <c r="F66" s="3">
        <v>1148</v>
      </c>
      <c r="G66" s="4">
        <f t="shared" si="1"/>
        <v>6.4935064935064846E-2</v>
      </c>
    </row>
    <row r="67" spans="1:7" x14ac:dyDescent="0.25">
      <c r="A67" s="2">
        <v>1226</v>
      </c>
      <c r="B67" s="3">
        <v>440</v>
      </c>
      <c r="C67" s="3">
        <v>317</v>
      </c>
      <c r="D67" s="4">
        <f t="shared" si="0"/>
        <v>-0.27954545454545454</v>
      </c>
      <c r="E67" s="3">
        <v>2009</v>
      </c>
      <c r="F67" s="3">
        <v>2181</v>
      </c>
      <c r="G67" s="4">
        <f t="shared" si="1"/>
        <v>8.5614733698357481E-2</v>
      </c>
    </row>
    <row r="68" spans="1:7" x14ac:dyDescent="0.25">
      <c r="A68" s="2">
        <v>1169</v>
      </c>
      <c r="B68" s="3">
        <v>374</v>
      </c>
      <c r="C68" s="3">
        <v>270</v>
      </c>
      <c r="D68" s="4">
        <f t="shared" ref="D68:D131" si="2">(C68/B68)-1</f>
        <v>-0.27807486631016043</v>
      </c>
      <c r="E68" s="3">
        <v>1201</v>
      </c>
      <c r="F68" s="3">
        <v>1272</v>
      </c>
      <c r="G68" s="4">
        <f t="shared" ref="G68:G131" si="3">(F68/E68-1)</f>
        <v>5.9117402164862609E-2</v>
      </c>
    </row>
    <row r="69" spans="1:7" x14ac:dyDescent="0.25">
      <c r="A69" s="2">
        <v>1037</v>
      </c>
      <c r="B69" s="3">
        <v>419</v>
      </c>
      <c r="C69" s="3">
        <v>303</v>
      </c>
      <c r="D69" s="4">
        <f t="shared" si="2"/>
        <v>-0.27684964200477324</v>
      </c>
      <c r="E69" s="3">
        <v>2050</v>
      </c>
      <c r="F69" s="3">
        <v>2180</v>
      </c>
      <c r="G69" s="4">
        <f t="shared" si="3"/>
        <v>6.341463414634152E-2</v>
      </c>
    </row>
    <row r="70" spans="1:7" x14ac:dyDescent="0.25">
      <c r="A70" s="2">
        <v>1126</v>
      </c>
      <c r="B70" s="3">
        <v>258</v>
      </c>
      <c r="C70" s="3">
        <v>187</v>
      </c>
      <c r="D70" s="4">
        <f t="shared" si="2"/>
        <v>-0.27519379844961245</v>
      </c>
      <c r="E70" s="3">
        <v>1171</v>
      </c>
      <c r="F70" s="3">
        <v>1237</v>
      </c>
      <c r="G70" s="4">
        <f t="shared" si="3"/>
        <v>5.6362083689154518E-2</v>
      </c>
    </row>
    <row r="71" spans="1:7" x14ac:dyDescent="0.25">
      <c r="A71" s="2">
        <v>1128</v>
      </c>
      <c r="B71" s="3">
        <v>339</v>
      </c>
      <c r="C71" s="3">
        <v>246</v>
      </c>
      <c r="D71" s="4">
        <f t="shared" si="2"/>
        <v>-0.27433628318584069</v>
      </c>
      <c r="E71" s="3">
        <v>1333</v>
      </c>
      <c r="F71" s="3">
        <v>1406</v>
      </c>
      <c r="G71" s="4">
        <f t="shared" si="3"/>
        <v>5.4763690922730701E-2</v>
      </c>
    </row>
    <row r="72" spans="1:7" x14ac:dyDescent="0.25">
      <c r="A72" s="2">
        <v>1038</v>
      </c>
      <c r="B72" s="3">
        <v>384</v>
      </c>
      <c r="C72" s="3">
        <v>279</v>
      </c>
      <c r="D72" s="4">
        <f t="shared" si="2"/>
        <v>-0.2734375</v>
      </c>
      <c r="E72" s="3">
        <v>1509</v>
      </c>
      <c r="F72" s="3">
        <v>1578</v>
      </c>
      <c r="G72" s="4">
        <f t="shared" si="3"/>
        <v>4.5725646123260466E-2</v>
      </c>
    </row>
    <row r="73" spans="1:7" x14ac:dyDescent="0.25">
      <c r="A73" s="2">
        <v>989</v>
      </c>
      <c r="B73" s="3">
        <v>311</v>
      </c>
      <c r="C73" s="3">
        <v>226</v>
      </c>
      <c r="D73" s="4">
        <f t="shared" si="2"/>
        <v>-0.27331189710610937</v>
      </c>
      <c r="E73" s="3">
        <v>1279</v>
      </c>
      <c r="F73" s="3">
        <v>1396</v>
      </c>
      <c r="G73" s="4">
        <f t="shared" si="3"/>
        <v>9.1477716966380074E-2</v>
      </c>
    </row>
    <row r="74" spans="1:7" x14ac:dyDescent="0.25">
      <c r="A74" s="2">
        <v>1050</v>
      </c>
      <c r="B74" s="3">
        <v>233</v>
      </c>
      <c r="C74" s="3">
        <v>170</v>
      </c>
      <c r="D74" s="4">
        <f t="shared" si="2"/>
        <v>-0.27038626609442062</v>
      </c>
      <c r="E74" s="3">
        <v>927</v>
      </c>
      <c r="F74" s="3">
        <v>1004</v>
      </c>
      <c r="G74" s="4">
        <f t="shared" si="3"/>
        <v>8.3063646170442373E-2</v>
      </c>
    </row>
    <row r="75" spans="1:7" x14ac:dyDescent="0.25">
      <c r="A75" s="2">
        <v>973</v>
      </c>
      <c r="B75" s="3">
        <v>190</v>
      </c>
      <c r="C75" s="3">
        <v>139</v>
      </c>
      <c r="D75" s="4">
        <f t="shared" si="2"/>
        <v>-0.26842105263157889</v>
      </c>
      <c r="E75" s="3">
        <v>870</v>
      </c>
      <c r="F75" s="3">
        <v>986</v>
      </c>
      <c r="G75" s="4">
        <f t="shared" si="3"/>
        <v>0.1333333333333333</v>
      </c>
    </row>
    <row r="76" spans="1:7" x14ac:dyDescent="0.25">
      <c r="A76" s="2">
        <v>1033</v>
      </c>
      <c r="B76" s="3">
        <v>378</v>
      </c>
      <c r="C76" s="3">
        <v>277</v>
      </c>
      <c r="D76" s="4">
        <f t="shared" si="2"/>
        <v>-0.26719576719576721</v>
      </c>
      <c r="E76" s="3">
        <v>1575</v>
      </c>
      <c r="F76" s="3">
        <v>1709</v>
      </c>
      <c r="G76" s="4">
        <f t="shared" si="3"/>
        <v>8.5079365079365088E-2</v>
      </c>
    </row>
    <row r="77" spans="1:7" x14ac:dyDescent="0.25">
      <c r="A77" s="2">
        <v>1123</v>
      </c>
      <c r="B77" s="3">
        <v>180</v>
      </c>
      <c r="C77" s="3">
        <v>132</v>
      </c>
      <c r="D77" s="4">
        <f t="shared" si="2"/>
        <v>-0.26666666666666672</v>
      </c>
      <c r="E77" s="3">
        <v>809</v>
      </c>
      <c r="F77" s="3">
        <v>857</v>
      </c>
      <c r="G77" s="4">
        <f t="shared" si="3"/>
        <v>5.9332509270704659E-2</v>
      </c>
    </row>
    <row r="78" spans="1:7" x14ac:dyDescent="0.25">
      <c r="A78" s="2">
        <v>1181</v>
      </c>
      <c r="B78" s="3">
        <v>195</v>
      </c>
      <c r="C78" s="3">
        <v>143</v>
      </c>
      <c r="D78" s="4">
        <f t="shared" si="2"/>
        <v>-0.26666666666666672</v>
      </c>
      <c r="E78" s="3">
        <v>877</v>
      </c>
      <c r="F78" s="3">
        <v>962</v>
      </c>
      <c r="G78" s="4">
        <f t="shared" si="3"/>
        <v>9.6921322690991962E-2</v>
      </c>
    </row>
    <row r="79" spans="1:7" x14ac:dyDescent="0.25">
      <c r="A79" s="2">
        <v>1159</v>
      </c>
      <c r="B79" s="3">
        <v>1128</v>
      </c>
      <c r="C79" s="3">
        <v>830</v>
      </c>
      <c r="D79" s="4">
        <f t="shared" si="2"/>
        <v>-0.26418439716312059</v>
      </c>
      <c r="E79" s="3">
        <v>4069</v>
      </c>
      <c r="F79" s="3">
        <v>4596</v>
      </c>
      <c r="G79" s="4">
        <f t="shared" si="3"/>
        <v>0.1295158515605801</v>
      </c>
    </row>
    <row r="80" spans="1:7" x14ac:dyDescent="0.25">
      <c r="A80" s="2">
        <v>1031</v>
      </c>
      <c r="B80" s="3">
        <v>247</v>
      </c>
      <c r="C80" s="3">
        <v>182</v>
      </c>
      <c r="D80" s="4">
        <f t="shared" si="2"/>
        <v>-0.26315789473684215</v>
      </c>
      <c r="E80" s="3">
        <v>1016</v>
      </c>
      <c r="F80" s="3">
        <v>1077</v>
      </c>
      <c r="G80" s="4">
        <f t="shared" si="3"/>
        <v>6.0039370078740051E-2</v>
      </c>
    </row>
    <row r="81" spans="1:7" x14ac:dyDescent="0.25">
      <c r="A81" s="2">
        <v>1122</v>
      </c>
      <c r="B81" s="3">
        <v>255</v>
      </c>
      <c r="C81" s="3">
        <v>188</v>
      </c>
      <c r="D81" s="4">
        <f t="shared" si="2"/>
        <v>-0.26274509803921564</v>
      </c>
      <c r="E81" s="3">
        <v>1080</v>
      </c>
      <c r="F81" s="3">
        <v>1155</v>
      </c>
      <c r="G81" s="4">
        <f t="shared" si="3"/>
        <v>6.944444444444442E-2</v>
      </c>
    </row>
    <row r="82" spans="1:7" x14ac:dyDescent="0.25">
      <c r="A82" s="2">
        <v>1081</v>
      </c>
      <c r="B82" s="3">
        <v>201</v>
      </c>
      <c r="C82" s="3">
        <v>149</v>
      </c>
      <c r="D82" s="4">
        <f t="shared" si="2"/>
        <v>-0.25870646766169159</v>
      </c>
      <c r="E82" s="3">
        <v>897</v>
      </c>
      <c r="F82" s="3">
        <v>985</v>
      </c>
      <c r="G82" s="4">
        <f t="shared" si="3"/>
        <v>9.8104793756967679E-2</v>
      </c>
    </row>
    <row r="83" spans="1:7" x14ac:dyDescent="0.25">
      <c r="A83" s="2">
        <v>1047</v>
      </c>
      <c r="B83" s="3">
        <v>178</v>
      </c>
      <c r="C83" s="3">
        <v>132</v>
      </c>
      <c r="D83" s="4">
        <f t="shared" si="2"/>
        <v>-0.2584269662921348</v>
      </c>
      <c r="E83" s="3">
        <v>776</v>
      </c>
      <c r="F83" s="3">
        <v>851</v>
      </c>
      <c r="G83" s="4">
        <f t="shared" si="3"/>
        <v>9.6649484536082575E-2</v>
      </c>
    </row>
    <row r="84" spans="1:7" x14ac:dyDescent="0.25">
      <c r="A84" s="2">
        <v>1103</v>
      </c>
      <c r="B84" s="3">
        <v>380</v>
      </c>
      <c r="C84" s="3">
        <v>284</v>
      </c>
      <c r="D84" s="4">
        <f t="shared" si="2"/>
        <v>-0.25263157894736843</v>
      </c>
      <c r="E84" s="3">
        <v>2056</v>
      </c>
      <c r="F84" s="3">
        <v>2220</v>
      </c>
      <c r="G84" s="4">
        <f t="shared" si="3"/>
        <v>7.9766536964980483E-2</v>
      </c>
    </row>
    <row r="85" spans="1:7" x14ac:dyDescent="0.25">
      <c r="A85" s="2">
        <v>1068</v>
      </c>
      <c r="B85" s="3">
        <v>99</v>
      </c>
      <c r="C85" s="3">
        <v>74</v>
      </c>
      <c r="D85" s="4">
        <f t="shared" si="2"/>
        <v>-0.25252525252525249</v>
      </c>
      <c r="E85" s="3">
        <v>474</v>
      </c>
      <c r="F85" s="3">
        <v>517</v>
      </c>
      <c r="G85" s="4">
        <f t="shared" si="3"/>
        <v>9.0717299578058963E-2</v>
      </c>
    </row>
    <row r="86" spans="1:7" x14ac:dyDescent="0.25">
      <c r="A86" s="2">
        <v>1065</v>
      </c>
      <c r="B86" s="3">
        <v>131</v>
      </c>
      <c r="C86" s="3">
        <v>98</v>
      </c>
      <c r="D86" s="4">
        <f t="shared" si="2"/>
        <v>-0.25190839694656486</v>
      </c>
      <c r="E86" s="3">
        <v>457</v>
      </c>
      <c r="F86" s="3">
        <v>476</v>
      </c>
      <c r="G86" s="4">
        <f t="shared" si="3"/>
        <v>4.1575492341356712E-2</v>
      </c>
    </row>
    <row r="87" spans="1:7" x14ac:dyDescent="0.25">
      <c r="A87" s="2">
        <v>1262</v>
      </c>
      <c r="B87" s="3">
        <v>775</v>
      </c>
      <c r="C87" s="3">
        <v>580</v>
      </c>
      <c r="D87" s="4">
        <f t="shared" si="2"/>
        <v>-0.25161290322580643</v>
      </c>
      <c r="E87" s="3">
        <v>5156</v>
      </c>
      <c r="F87" s="3">
        <v>6144</v>
      </c>
      <c r="G87" s="4">
        <f t="shared" si="3"/>
        <v>0.19162141194724591</v>
      </c>
    </row>
    <row r="88" spans="1:7" x14ac:dyDescent="0.25">
      <c r="A88" s="2">
        <v>1070</v>
      </c>
      <c r="B88" s="3">
        <v>183</v>
      </c>
      <c r="C88" s="3">
        <v>137</v>
      </c>
      <c r="D88" s="4">
        <f t="shared" si="2"/>
        <v>-0.25136612021857918</v>
      </c>
      <c r="E88" s="3">
        <v>774</v>
      </c>
      <c r="F88" s="3">
        <v>832</v>
      </c>
      <c r="G88" s="4">
        <f t="shared" si="3"/>
        <v>7.4935400516795925E-2</v>
      </c>
    </row>
    <row r="89" spans="1:7" x14ac:dyDescent="0.25">
      <c r="A89" s="2">
        <v>1045</v>
      </c>
      <c r="B89" s="3">
        <v>215</v>
      </c>
      <c r="C89" s="3">
        <v>161</v>
      </c>
      <c r="D89" s="4">
        <f t="shared" si="2"/>
        <v>-0.25116279069767444</v>
      </c>
      <c r="E89" s="3">
        <v>909</v>
      </c>
      <c r="F89" s="3">
        <v>996</v>
      </c>
      <c r="G89" s="4">
        <f t="shared" si="3"/>
        <v>9.5709570957095647E-2</v>
      </c>
    </row>
    <row r="90" spans="1:7" x14ac:dyDescent="0.25">
      <c r="A90" s="2">
        <v>1024</v>
      </c>
      <c r="B90" s="3">
        <v>104</v>
      </c>
      <c r="C90" s="3">
        <v>78</v>
      </c>
      <c r="D90" s="4">
        <f t="shared" si="2"/>
        <v>-0.25</v>
      </c>
      <c r="E90" s="3">
        <v>394</v>
      </c>
      <c r="F90" s="3">
        <v>431</v>
      </c>
      <c r="G90" s="4">
        <f t="shared" si="3"/>
        <v>9.3908629441624258E-2</v>
      </c>
    </row>
    <row r="91" spans="1:7" x14ac:dyDescent="0.25">
      <c r="A91" s="2">
        <v>1035</v>
      </c>
      <c r="B91" s="3">
        <v>1416</v>
      </c>
      <c r="C91" s="3">
        <v>1064</v>
      </c>
      <c r="D91" s="4">
        <f t="shared" si="2"/>
        <v>-0.24858757062146897</v>
      </c>
      <c r="E91" s="3">
        <v>7205</v>
      </c>
      <c r="F91" s="3">
        <v>8351</v>
      </c>
      <c r="G91" s="4">
        <f t="shared" si="3"/>
        <v>0.15905621096460787</v>
      </c>
    </row>
    <row r="92" spans="1:7" x14ac:dyDescent="0.25">
      <c r="A92" s="2">
        <v>1170</v>
      </c>
      <c r="B92" s="3">
        <v>278</v>
      </c>
      <c r="C92" s="3">
        <v>209</v>
      </c>
      <c r="D92" s="4">
        <f t="shared" si="2"/>
        <v>-0.24820143884892087</v>
      </c>
      <c r="E92" s="3">
        <v>1098</v>
      </c>
      <c r="F92" s="3">
        <v>1188</v>
      </c>
      <c r="G92" s="4">
        <f t="shared" si="3"/>
        <v>8.1967213114754189E-2</v>
      </c>
    </row>
    <row r="93" spans="1:7" x14ac:dyDescent="0.25">
      <c r="A93" s="2">
        <v>1098</v>
      </c>
      <c r="B93" s="3">
        <v>262</v>
      </c>
      <c r="C93" s="3">
        <v>197</v>
      </c>
      <c r="D93" s="4">
        <f t="shared" si="2"/>
        <v>-0.24809160305343514</v>
      </c>
      <c r="E93" s="3">
        <v>1261</v>
      </c>
      <c r="F93" s="3">
        <v>1347</v>
      </c>
      <c r="G93" s="4">
        <f t="shared" si="3"/>
        <v>6.8199841395717664E-2</v>
      </c>
    </row>
    <row r="94" spans="1:7" x14ac:dyDescent="0.25">
      <c r="A94" s="2">
        <v>972</v>
      </c>
      <c r="B94" s="3">
        <v>304</v>
      </c>
      <c r="C94" s="3">
        <v>229</v>
      </c>
      <c r="D94" s="4">
        <f t="shared" si="2"/>
        <v>-0.24671052631578949</v>
      </c>
      <c r="E94" s="3">
        <v>1126</v>
      </c>
      <c r="F94" s="3">
        <v>1209</v>
      </c>
      <c r="G94" s="4">
        <f t="shared" si="3"/>
        <v>7.3712255772646618E-2</v>
      </c>
    </row>
    <row r="95" spans="1:7" x14ac:dyDescent="0.25">
      <c r="A95" s="2">
        <v>1136</v>
      </c>
      <c r="B95" s="3">
        <v>260</v>
      </c>
      <c r="C95" s="3">
        <v>196</v>
      </c>
      <c r="D95" s="4">
        <f t="shared" si="2"/>
        <v>-0.24615384615384617</v>
      </c>
      <c r="E95" s="3">
        <v>1094</v>
      </c>
      <c r="F95" s="3">
        <v>1159</v>
      </c>
      <c r="G95" s="4">
        <f t="shared" si="3"/>
        <v>5.9414990859232075E-2</v>
      </c>
    </row>
    <row r="96" spans="1:7" x14ac:dyDescent="0.25">
      <c r="A96" s="5">
        <v>1042</v>
      </c>
      <c r="B96" s="6">
        <v>119</v>
      </c>
      <c r="C96" s="6">
        <v>90</v>
      </c>
      <c r="D96" s="7">
        <f t="shared" si="2"/>
        <v>-0.24369747899159666</v>
      </c>
      <c r="E96" s="6">
        <v>491</v>
      </c>
      <c r="F96" s="6">
        <v>530</v>
      </c>
      <c r="G96" s="7">
        <f t="shared" si="3"/>
        <v>7.9429735234215926E-2</v>
      </c>
    </row>
    <row r="97" spans="1:7" x14ac:dyDescent="0.25">
      <c r="A97" s="5">
        <v>991</v>
      </c>
      <c r="B97" s="6">
        <v>148</v>
      </c>
      <c r="C97" s="6">
        <v>112</v>
      </c>
      <c r="D97" s="7">
        <f t="shared" si="2"/>
        <v>-0.2432432432432432</v>
      </c>
      <c r="E97" s="6">
        <v>735</v>
      </c>
      <c r="F97" s="6">
        <v>744</v>
      </c>
      <c r="G97" s="7">
        <f t="shared" si="3"/>
        <v>1.2244897959183598E-2</v>
      </c>
    </row>
    <row r="98" spans="1:7" x14ac:dyDescent="0.25">
      <c r="A98" s="5">
        <v>1152</v>
      </c>
      <c r="B98" s="6">
        <v>322</v>
      </c>
      <c r="C98" s="6">
        <v>244</v>
      </c>
      <c r="D98" s="7">
        <f t="shared" si="2"/>
        <v>-0.24223602484472051</v>
      </c>
      <c r="E98" s="6">
        <v>1143</v>
      </c>
      <c r="F98" s="6">
        <v>1228</v>
      </c>
      <c r="G98" s="7">
        <f t="shared" si="3"/>
        <v>7.4365704286964096E-2</v>
      </c>
    </row>
    <row r="99" spans="1:7" x14ac:dyDescent="0.25">
      <c r="A99" s="5">
        <v>1044</v>
      </c>
      <c r="B99" s="6">
        <v>166</v>
      </c>
      <c r="C99" s="6">
        <v>126</v>
      </c>
      <c r="D99" s="7">
        <f t="shared" si="2"/>
        <v>-0.24096385542168675</v>
      </c>
      <c r="E99" s="6">
        <v>771</v>
      </c>
      <c r="F99" s="6">
        <v>770</v>
      </c>
      <c r="G99" s="7">
        <f t="shared" si="3"/>
        <v>-1.2970168612191912E-3</v>
      </c>
    </row>
    <row r="100" spans="1:7" x14ac:dyDescent="0.25">
      <c r="A100" s="5">
        <v>1108</v>
      </c>
      <c r="B100" s="6">
        <v>320</v>
      </c>
      <c r="C100" s="6">
        <v>243</v>
      </c>
      <c r="D100" s="7">
        <f t="shared" si="2"/>
        <v>-0.24062499999999998</v>
      </c>
      <c r="E100" s="6">
        <v>1532</v>
      </c>
      <c r="F100" s="6">
        <v>1703</v>
      </c>
      <c r="G100" s="7">
        <f t="shared" si="3"/>
        <v>0.11161879895561366</v>
      </c>
    </row>
    <row r="101" spans="1:7" x14ac:dyDescent="0.25">
      <c r="A101" s="5">
        <v>997</v>
      </c>
      <c r="B101" s="6">
        <v>268</v>
      </c>
      <c r="C101" s="6">
        <v>204</v>
      </c>
      <c r="D101" s="7">
        <f t="shared" si="2"/>
        <v>-0.23880597014925375</v>
      </c>
      <c r="E101" s="6">
        <v>1063</v>
      </c>
      <c r="F101" s="6">
        <v>1145</v>
      </c>
      <c r="G101" s="7">
        <f t="shared" si="3"/>
        <v>7.7140169332079012E-2</v>
      </c>
    </row>
    <row r="102" spans="1:7" x14ac:dyDescent="0.25">
      <c r="A102" s="5">
        <v>1135</v>
      </c>
      <c r="B102" s="6">
        <v>268</v>
      </c>
      <c r="C102" s="6">
        <v>204</v>
      </c>
      <c r="D102" s="7">
        <f t="shared" si="2"/>
        <v>-0.23880597014925375</v>
      </c>
      <c r="E102" s="6">
        <v>1004</v>
      </c>
      <c r="F102" s="6">
        <v>1064</v>
      </c>
      <c r="G102" s="7">
        <f t="shared" si="3"/>
        <v>5.9760956175298752E-2</v>
      </c>
    </row>
    <row r="103" spans="1:7" x14ac:dyDescent="0.25">
      <c r="A103" s="5">
        <v>968</v>
      </c>
      <c r="B103" s="6">
        <v>235</v>
      </c>
      <c r="C103" s="6">
        <v>179</v>
      </c>
      <c r="D103" s="7">
        <f t="shared" si="2"/>
        <v>-0.23829787234042554</v>
      </c>
      <c r="E103" s="6">
        <v>972</v>
      </c>
      <c r="F103" s="6">
        <v>1051</v>
      </c>
      <c r="G103" s="7">
        <f t="shared" si="3"/>
        <v>8.1275720164609044E-2</v>
      </c>
    </row>
    <row r="104" spans="1:7" x14ac:dyDescent="0.25">
      <c r="A104" s="5">
        <v>1107</v>
      </c>
      <c r="B104" s="6">
        <v>1737</v>
      </c>
      <c r="C104" s="6">
        <v>1324</v>
      </c>
      <c r="D104" s="7">
        <f t="shared" si="2"/>
        <v>-0.23776626367299947</v>
      </c>
      <c r="E104" s="6">
        <v>10024</v>
      </c>
      <c r="F104" s="6">
        <v>12510</v>
      </c>
      <c r="G104" s="7">
        <f t="shared" si="3"/>
        <v>0.24800478850758179</v>
      </c>
    </row>
    <row r="105" spans="1:7" x14ac:dyDescent="0.25">
      <c r="A105" s="5">
        <v>985</v>
      </c>
      <c r="B105" s="6">
        <v>295</v>
      </c>
      <c r="C105" s="6">
        <v>225</v>
      </c>
      <c r="D105" s="7">
        <f t="shared" si="2"/>
        <v>-0.23728813559322037</v>
      </c>
      <c r="E105" s="6">
        <v>1728</v>
      </c>
      <c r="F105" s="6">
        <v>1894</v>
      </c>
      <c r="G105" s="7">
        <f t="shared" si="3"/>
        <v>9.6064814814814881E-2</v>
      </c>
    </row>
    <row r="106" spans="1:7" x14ac:dyDescent="0.25">
      <c r="A106" s="5">
        <v>1071</v>
      </c>
      <c r="B106" s="6">
        <v>144</v>
      </c>
      <c r="C106" s="6">
        <v>110</v>
      </c>
      <c r="D106" s="7">
        <f t="shared" si="2"/>
        <v>-0.23611111111111116</v>
      </c>
      <c r="E106" s="6">
        <v>647</v>
      </c>
      <c r="F106" s="6">
        <v>650</v>
      </c>
      <c r="G106" s="7">
        <f t="shared" si="3"/>
        <v>4.6367851622874934E-3</v>
      </c>
    </row>
    <row r="107" spans="1:7" x14ac:dyDescent="0.25">
      <c r="A107" s="5">
        <v>981</v>
      </c>
      <c r="B107" s="6">
        <v>178</v>
      </c>
      <c r="C107" s="6">
        <v>136</v>
      </c>
      <c r="D107" s="7">
        <f t="shared" si="2"/>
        <v>-0.2359550561797753</v>
      </c>
      <c r="E107" s="6">
        <v>981</v>
      </c>
      <c r="F107" s="6">
        <v>1112</v>
      </c>
      <c r="G107" s="7">
        <f t="shared" si="3"/>
        <v>0.13353720693170223</v>
      </c>
    </row>
    <row r="108" spans="1:7" x14ac:dyDescent="0.25">
      <c r="A108" s="5">
        <v>990</v>
      </c>
      <c r="B108" s="6">
        <v>102</v>
      </c>
      <c r="C108" s="6">
        <v>78</v>
      </c>
      <c r="D108" s="7">
        <f t="shared" si="2"/>
        <v>-0.23529411764705888</v>
      </c>
      <c r="E108" s="6">
        <v>422</v>
      </c>
      <c r="F108" s="6">
        <v>464</v>
      </c>
      <c r="G108" s="7">
        <f t="shared" si="3"/>
        <v>9.9526066350710929E-2</v>
      </c>
    </row>
    <row r="109" spans="1:7" x14ac:dyDescent="0.25">
      <c r="A109" s="5">
        <v>1091</v>
      </c>
      <c r="B109" s="6">
        <v>141</v>
      </c>
      <c r="C109" s="6">
        <v>108</v>
      </c>
      <c r="D109" s="7">
        <f t="shared" si="2"/>
        <v>-0.23404255319148937</v>
      </c>
      <c r="E109" s="6">
        <v>613</v>
      </c>
      <c r="F109" s="6">
        <v>655</v>
      </c>
      <c r="G109" s="7">
        <f t="shared" si="3"/>
        <v>6.8515497553018001E-2</v>
      </c>
    </row>
    <row r="110" spans="1:7" x14ac:dyDescent="0.25">
      <c r="A110" s="5">
        <v>1229</v>
      </c>
      <c r="B110" s="6">
        <v>311</v>
      </c>
      <c r="C110" s="6">
        <v>239</v>
      </c>
      <c r="D110" s="7">
        <f t="shared" si="2"/>
        <v>-0.23151125401929262</v>
      </c>
      <c r="E110" s="6">
        <v>1660</v>
      </c>
      <c r="F110" s="6">
        <v>1806</v>
      </c>
      <c r="G110" s="7">
        <f t="shared" si="3"/>
        <v>8.7951807228915602E-2</v>
      </c>
    </row>
    <row r="111" spans="1:7" x14ac:dyDescent="0.25">
      <c r="A111" s="5">
        <v>1097</v>
      </c>
      <c r="B111" s="6">
        <v>432</v>
      </c>
      <c r="C111" s="6">
        <v>332</v>
      </c>
      <c r="D111" s="7">
        <f t="shared" si="2"/>
        <v>-0.23148148148148151</v>
      </c>
      <c r="E111" s="6">
        <v>2011</v>
      </c>
      <c r="F111" s="6">
        <v>2190</v>
      </c>
      <c r="G111" s="7">
        <f t="shared" si="3"/>
        <v>8.9010442565887526E-2</v>
      </c>
    </row>
    <row r="112" spans="1:7" x14ac:dyDescent="0.25">
      <c r="A112" s="5">
        <v>1162</v>
      </c>
      <c r="B112" s="6">
        <v>291</v>
      </c>
      <c r="C112" s="6">
        <v>224</v>
      </c>
      <c r="D112" s="7">
        <f t="shared" si="2"/>
        <v>-0.23024054982817865</v>
      </c>
      <c r="E112" s="6">
        <v>948</v>
      </c>
      <c r="F112" s="6">
        <v>1043</v>
      </c>
      <c r="G112" s="7">
        <f t="shared" si="3"/>
        <v>0.10021097046413496</v>
      </c>
    </row>
    <row r="113" spans="1:7" x14ac:dyDescent="0.25">
      <c r="A113" s="5">
        <v>1029</v>
      </c>
      <c r="B113" s="6">
        <v>132</v>
      </c>
      <c r="C113" s="6">
        <v>102</v>
      </c>
      <c r="D113" s="7">
        <f t="shared" si="2"/>
        <v>-0.22727272727272729</v>
      </c>
      <c r="E113" s="6">
        <v>638</v>
      </c>
      <c r="F113" s="6">
        <v>687</v>
      </c>
      <c r="G113" s="7">
        <f t="shared" si="3"/>
        <v>7.6802507836990497E-2</v>
      </c>
    </row>
    <row r="114" spans="1:7" x14ac:dyDescent="0.25">
      <c r="A114" s="5">
        <v>1116</v>
      </c>
      <c r="B114" s="6">
        <v>150</v>
      </c>
      <c r="C114" s="6">
        <v>116</v>
      </c>
      <c r="D114" s="7">
        <f t="shared" si="2"/>
        <v>-0.22666666666666668</v>
      </c>
      <c r="E114" s="6">
        <v>879</v>
      </c>
      <c r="F114" s="6">
        <v>942</v>
      </c>
      <c r="G114" s="7">
        <f t="shared" si="3"/>
        <v>7.1672354948805417E-2</v>
      </c>
    </row>
    <row r="115" spans="1:7" x14ac:dyDescent="0.25">
      <c r="A115" s="5">
        <v>2675</v>
      </c>
      <c r="B115" s="6">
        <v>564</v>
      </c>
      <c r="C115" s="6">
        <v>437</v>
      </c>
      <c r="D115" s="7">
        <f t="shared" si="2"/>
        <v>-0.22517730496453903</v>
      </c>
      <c r="E115" s="6">
        <v>2525</v>
      </c>
      <c r="F115" s="6">
        <v>2975</v>
      </c>
      <c r="G115" s="7">
        <f t="shared" si="3"/>
        <v>0.17821782178217815</v>
      </c>
    </row>
    <row r="116" spans="1:7" x14ac:dyDescent="0.25">
      <c r="A116" s="5">
        <v>1041</v>
      </c>
      <c r="B116" s="6">
        <v>156</v>
      </c>
      <c r="C116" s="6">
        <v>121</v>
      </c>
      <c r="D116" s="7">
        <f t="shared" si="2"/>
        <v>-0.22435897435897434</v>
      </c>
      <c r="E116" s="6">
        <v>763</v>
      </c>
      <c r="F116" s="6">
        <v>864</v>
      </c>
      <c r="G116" s="7">
        <f t="shared" si="3"/>
        <v>0.13237221494102225</v>
      </c>
    </row>
    <row r="117" spans="1:7" x14ac:dyDescent="0.25">
      <c r="A117" s="5">
        <v>1233</v>
      </c>
      <c r="B117" s="6">
        <v>1697</v>
      </c>
      <c r="C117" s="6">
        <v>1318</v>
      </c>
      <c r="D117" s="7">
        <f t="shared" si="2"/>
        <v>-0.22333529758397175</v>
      </c>
      <c r="E117" s="6">
        <v>8015</v>
      </c>
      <c r="F117" s="6">
        <v>9556</v>
      </c>
      <c r="G117" s="7">
        <f t="shared" si="3"/>
        <v>0.19226450405489715</v>
      </c>
    </row>
    <row r="118" spans="1:7" x14ac:dyDescent="0.25">
      <c r="A118" s="5">
        <v>1230</v>
      </c>
      <c r="B118" s="6">
        <v>331</v>
      </c>
      <c r="C118" s="6">
        <v>258</v>
      </c>
      <c r="D118" s="7">
        <f t="shared" si="2"/>
        <v>-0.22054380664652573</v>
      </c>
      <c r="E118" s="6">
        <v>1759</v>
      </c>
      <c r="F118" s="6">
        <v>1939</v>
      </c>
      <c r="G118" s="7">
        <f t="shared" si="3"/>
        <v>0.10233086981239348</v>
      </c>
    </row>
    <row r="119" spans="1:7" x14ac:dyDescent="0.25">
      <c r="A119" s="5">
        <v>974</v>
      </c>
      <c r="B119" s="6">
        <v>127</v>
      </c>
      <c r="C119" s="6">
        <v>99</v>
      </c>
      <c r="D119" s="7">
        <f t="shared" si="2"/>
        <v>-0.22047244094488194</v>
      </c>
      <c r="E119" s="6">
        <v>476</v>
      </c>
      <c r="F119" s="6">
        <v>530</v>
      </c>
      <c r="G119" s="7">
        <f t="shared" si="3"/>
        <v>0.11344537815126055</v>
      </c>
    </row>
    <row r="120" spans="1:7" x14ac:dyDescent="0.25">
      <c r="A120" s="5">
        <v>1106</v>
      </c>
      <c r="B120" s="6">
        <v>296</v>
      </c>
      <c r="C120" s="6">
        <v>231</v>
      </c>
      <c r="D120" s="7">
        <f t="shared" si="2"/>
        <v>-0.21959459459459463</v>
      </c>
      <c r="E120" s="6">
        <v>2018</v>
      </c>
      <c r="F120" s="6">
        <v>2192</v>
      </c>
      <c r="G120" s="7">
        <f t="shared" si="3"/>
        <v>8.6223984142715482E-2</v>
      </c>
    </row>
    <row r="121" spans="1:7" x14ac:dyDescent="0.25">
      <c r="A121" s="5">
        <v>1168</v>
      </c>
      <c r="B121" s="6">
        <v>283</v>
      </c>
      <c r="C121" s="6">
        <v>221</v>
      </c>
      <c r="D121" s="7">
        <f t="shared" si="2"/>
        <v>-0.21908127208480566</v>
      </c>
      <c r="E121" s="6">
        <v>1005</v>
      </c>
      <c r="F121" s="6">
        <v>1065</v>
      </c>
      <c r="G121" s="7">
        <f t="shared" si="3"/>
        <v>5.9701492537313383E-2</v>
      </c>
    </row>
    <row r="122" spans="1:7" x14ac:dyDescent="0.25">
      <c r="A122" s="5">
        <v>1206</v>
      </c>
      <c r="B122" s="6">
        <v>604</v>
      </c>
      <c r="C122" s="6">
        <v>472</v>
      </c>
      <c r="D122" s="7">
        <f t="shared" si="2"/>
        <v>-0.2185430463576159</v>
      </c>
      <c r="E122" s="6">
        <v>2496</v>
      </c>
      <c r="F122" s="6">
        <v>2699</v>
      </c>
      <c r="G122" s="7">
        <f t="shared" si="3"/>
        <v>8.1330128205128194E-2</v>
      </c>
    </row>
    <row r="123" spans="1:7" x14ac:dyDescent="0.25">
      <c r="A123" s="5">
        <v>1138</v>
      </c>
      <c r="B123" s="6">
        <v>270</v>
      </c>
      <c r="C123" s="6">
        <v>211</v>
      </c>
      <c r="D123" s="7">
        <f t="shared" si="2"/>
        <v>-0.21851851851851856</v>
      </c>
      <c r="E123" s="6">
        <v>1032</v>
      </c>
      <c r="F123" s="6">
        <v>1101</v>
      </c>
      <c r="G123" s="7">
        <f t="shared" si="3"/>
        <v>6.6860465116278966E-2</v>
      </c>
    </row>
    <row r="124" spans="1:7" x14ac:dyDescent="0.25">
      <c r="A124" s="5">
        <v>1096</v>
      </c>
      <c r="B124" s="6">
        <v>312</v>
      </c>
      <c r="C124" s="6">
        <v>244</v>
      </c>
      <c r="D124" s="7">
        <f t="shared" si="2"/>
        <v>-0.21794871794871795</v>
      </c>
      <c r="E124" s="6">
        <v>1220</v>
      </c>
      <c r="F124" s="6">
        <v>1314</v>
      </c>
      <c r="G124" s="7">
        <f t="shared" si="3"/>
        <v>7.7049180327868783E-2</v>
      </c>
    </row>
    <row r="125" spans="1:7" x14ac:dyDescent="0.25">
      <c r="A125" s="5">
        <v>1100</v>
      </c>
      <c r="B125" s="6">
        <v>335</v>
      </c>
      <c r="C125" s="6">
        <v>262</v>
      </c>
      <c r="D125" s="7">
        <f t="shared" si="2"/>
        <v>-0.21791044776119406</v>
      </c>
      <c r="E125" s="6">
        <v>1694</v>
      </c>
      <c r="F125" s="6">
        <v>1888</v>
      </c>
      <c r="G125" s="7">
        <f t="shared" si="3"/>
        <v>0.11452184179456903</v>
      </c>
    </row>
    <row r="126" spans="1:7" x14ac:dyDescent="0.25">
      <c r="A126" s="5">
        <v>1158</v>
      </c>
      <c r="B126" s="6">
        <v>680</v>
      </c>
      <c r="C126" s="6">
        <v>532</v>
      </c>
      <c r="D126" s="7">
        <f t="shared" si="2"/>
        <v>-0.21764705882352942</v>
      </c>
      <c r="E126" s="6">
        <v>2490</v>
      </c>
      <c r="F126" s="6">
        <v>2739</v>
      </c>
      <c r="G126" s="7">
        <f t="shared" si="3"/>
        <v>0.10000000000000009</v>
      </c>
    </row>
    <row r="127" spans="1:7" x14ac:dyDescent="0.25">
      <c r="A127" s="5">
        <v>1244</v>
      </c>
      <c r="B127" s="6">
        <v>240</v>
      </c>
      <c r="C127" s="6">
        <v>188</v>
      </c>
      <c r="D127" s="7">
        <f t="shared" si="2"/>
        <v>-0.21666666666666667</v>
      </c>
      <c r="E127" s="6">
        <v>1170</v>
      </c>
      <c r="F127" s="6">
        <v>1260</v>
      </c>
      <c r="G127" s="7">
        <f t="shared" si="3"/>
        <v>7.6923076923076872E-2</v>
      </c>
    </row>
    <row r="128" spans="1:7" x14ac:dyDescent="0.25">
      <c r="A128" s="5">
        <v>1245</v>
      </c>
      <c r="B128" s="6">
        <v>243</v>
      </c>
      <c r="C128" s="6">
        <v>191</v>
      </c>
      <c r="D128" s="7">
        <f t="shared" si="2"/>
        <v>-0.21399176954732513</v>
      </c>
      <c r="E128" s="6">
        <v>1554</v>
      </c>
      <c r="F128" s="6">
        <v>1711</v>
      </c>
      <c r="G128" s="7">
        <f t="shared" si="3"/>
        <v>0.10102960102960101</v>
      </c>
    </row>
    <row r="129" spans="1:7" x14ac:dyDescent="0.25">
      <c r="A129" s="5">
        <v>1117</v>
      </c>
      <c r="B129" s="6">
        <v>117</v>
      </c>
      <c r="C129" s="6">
        <v>92</v>
      </c>
      <c r="D129" s="7">
        <f t="shared" si="2"/>
        <v>-0.21367521367521369</v>
      </c>
      <c r="E129" s="6">
        <v>845</v>
      </c>
      <c r="F129" s="6">
        <v>948</v>
      </c>
      <c r="G129" s="7">
        <f t="shared" si="3"/>
        <v>0.1218934911242604</v>
      </c>
    </row>
    <row r="130" spans="1:7" x14ac:dyDescent="0.25">
      <c r="A130" s="5">
        <v>988</v>
      </c>
      <c r="B130" s="6">
        <v>226</v>
      </c>
      <c r="C130" s="6">
        <v>178</v>
      </c>
      <c r="D130" s="7">
        <f t="shared" si="2"/>
        <v>-0.21238938053097345</v>
      </c>
      <c r="E130" s="6">
        <v>899</v>
      </c>
      <c r="F130" s="6">
        <v>973</v>
      </c>
      <c r="G130" s="7">
        <f t="shared" si="3"/>
        <v>8.2313681868743105E-2</v>
      </c>
    </row>
    <row r="131" spans="1:7" x14ac:dyDescent="0.25">
      <c r="A131" s="5">
        <v>1172</v>
      </c>
      <c r="B131" s="6">
        <v>222</v>
      </c>
      <c r="C131" s="6">
        <v>175</v>
      </c>
      <c r="D131" s="7">
        <f t="shared" si="2"/>
        <v>-0.21171171171171166</v>
      </c>
      <c r="E131" s="6">
        <v>1060</v>
      </c>
      <c r="F131" s="6">
        <v>1125</v>
      </c>
      <c r="G131" s="7">
        <f t="shared" si="3"/>
        <v>6.1320754716981174E-2</v>
      </c>
    </row>
    <row r="132" spans="1:7" x14ac:dyDescent="0.25">
      <c r="A132" s="5">
        <v>1079</v>
      </c>
      <c r="B132" s="6">
        <v>76</v>
      </c>
      <c r="C132" s="6">
        <v>60</v>
      </c>
      <c r="D132" s="7">
        <f t="shared" ref="D132:D195" si="4">(C132/B132)-1</f>
        <v>-0.21052631578947367</v>
      </c>
      <c r="E132" s="6">
        <v>617</v>
      </c>
      <c r="F132" s="6">
        <v>666</v>
      </c>
      <c r="G132" s="7">
        <f t="shared" ref="G132:G195" si="5">(F132/E132-1)</f>
        <v>7.9416531604538099E-2</v>
      </c>
    </row>
    <row r="133" spans="1:7" x14ac:dyDescent="0.25">
      <c r="A133" s="5">
        <v>1165</v>
      </c>
      <c r="B133" s="6">
        <v>379</v>
      </c>
      <c r="C133" s="6">
        <v>301</v>
      </c>
      <c r="D133" s="7">
        <f t="shared" si="4"/>
        <v>-0.20580474934036941</v>
      </c>
      <c r="E133" s="6">
        <v>1414</v>
      </c>
      <c r="F133" s="6">
        <v>1465</v>
      </c>
      <c r="G133" s="7">
        <f t="shared" si="5"/>
        <v>3.6067892503536036E-2</v>
      </c>
    </row>
    <row r="134" spans="1:7" x14ac:dyDescent="0.25">
      <c r="A134" s="5">
        <v>1084</v>
      </c>
      <c r="B134" s="6">
        <v>297</v>
      </c>
      <c r="C134" s="6">
        <v>236</v>
      </c>
      <c r="D134" s="7">
        <f t="shared" si="4"/>
        <v>-0.20538720538720534</v>
      </c>
      <c r="E134" s="6">
        <v>1208</v>
      </c>
      <c r="F134" s="6">
        <v>1294</v>
      </c>
      <c r="G134" s="7">
        <f t="shared" si="5"/>
        <v>7.1192052980132425E-2</v>
      </c>
    </row>
    <row r="135" spans="1:7" x14ac:dyDescent="0.25">
      <c r="A135" s="5">
        <v>1285</v>
      </c>
      <c r="B135" s="6">
        <v>512</v>
      </c>
      <c r="C135" s="6">
        <v>407</v>
      </c>
      <c r="D135" s="7">
        <f t="shared" si="4"/>
        <v>-0.205078125</v>
      </c>
      <c r="E135" s="6">
        <v>2022</v>
      </c>
      <c r="F135" s="6">
        <v>2190</v>
      </c>
      <c r="G135" s="7">
        <f t="shared" si="5"/>
        <v>8.308605341246289E-2</v>
      </c>
    </row>
    <row r="136" spans="1:7" x14ac:dyDescent="0.25">
      <c r="A136" s="5">
        <v>1182</v>
      </c>
      <c r="B136" s="6">
        <v>176</v>
      </c>
      <c r="C136" s="6">
        <v>140</v>
      </c>
      <c r="D136" s="7">
        <f t="shared" si="4"/>
        <v>-0.20454545454545459</v>
      </c>
      <c r="E136" s="6">
        <v>982</v>
      </c>
      <c r="F136" s="6">
        <v>1062</v>
      </c>
      <c r="G136" s="7">
        <f t="shared" si="5"/>
        <v>8.1466395112016254E-2</v>
      </c>
    </row>
    <row r="137" spans="1:7" x14ac:dyDescent="0.25">
      <c r="A137" s="5">
        <v>967</v>
      </c>
      <c r="B137" s="6">
        <v>230</v>
      </c>
      <c r="C137" s="6">
        <v>183</v>
      </c>
      <c r="D137" s="7">
        <f t="shared" si="4"/>
        <v>-0.20434782608695656</v>
      </c>
      <c r="E137" s="6">
        <v>954</v>
      </c>
      <c r="F137" s="6">
        <v>1046</v>
      </c>
      <c r="G137" s="7">
        <f t="shared" si="5"/>
        <v>9.6436058700209548E-2</v>
      </c>
    </row>
    <row r="138" spans="1:7" x14ac:dyDescent="0.25">
      <c r="A138" s="5">
        <v>1105</v>
      </c>
      <c r="B138" s="6">
        <v>276</v>
      </c>
      <c r="C138" s="6">
        <v>221</v>
      </c>
      <c r="D138" s="7">
        <f t="shared" si="4"/>
        <v>-0.19927536231884058</v>
      </c>
      <c r="E138" s="6">
        <v>1537</v>
      </c>
      <c r="F138" s="6">
        <v>1724</v>
      </c>
      <c r="G138" s="7">
        <f t="shared" si="5"/>
        <v>0.12166558230318802</v>
      </c>
    </row>
    <row r="139" spans="1:7" x14ac:dyDescent="0.25">
      <c r="A139" s="5">
        <v>1155</v>
      </c>
      <c r="B139" s="6">
        <v>326</v>
      </c>
      <c r="C139" s="6">
        <v>262</v>
      </c>
      <c r="D139" s="7">
        <f t="shared" si="4"/>
        <v>-0.19631901840490795</v>
      </c>
      <c r="E139" s="6">
        <v>1030</v>
      </c>
      <c r="F139" s="6">
        <v>1101</v>
      </c>
      <c r="G139" s="7">
        <f t="shared" si="5"/>
        <v>6.893203883495147E-2</v>
      </c>
    </row>
    <row r="140" spans="1:7" x14ac:dyDescent="0.25">
      <c r="A140" s="5">
        <v>1270</v>
      </c>
      <c r="B140" s="6">
        <v>724</v>
      </c>
      <c r="C140" s="6">
        <v>582</v>
      </c>
      <c r="D140" s="7">
        <f t="shared" si="4"/>
        <v>-0.19613259668508287</v>
      </c>
      <c r="E140" s="6">
        <v>4047</v>
      </c>
      <c r="F140" s="6">
        <v>4710</v>
      </c>
      <c r="G140" s="7">
        <f t="shared" si="5"/>
        <v>0.16382505559673843</v>
      </c>
    </row>
    <row r="141" spans="1:7" x14ac:dyDescent="0.25">
      <c r="A141" s="5">
        <v>1094</v>
      </c>
      <c r="B141" s="6">
        <v>221</v>
      </c>
      <c r="C141" s="6">
        <v>178</v>
      </c>
      <c r="D141" s="7">
        <f t="shared" si="4"/>
        <v>-0.19457013574660631</v>
      </c>
      <c r="E141" s="6">
        <v>1014</v>
      </c>
      <c r="F141" s="6">
        <v>1140</v>
      </c>
      <c r="G141" s="7">
        <f t="shared" si="5"/>
        <v>0.12426035502958577</v>
      </c>
    </row>
    <row r="142" spans="1:7" x14ac:dyDescent="0.25">
      <c r="A142" s="5">
        <v>1110</v>
      </c>
      <c r="B142" s="6">
        <v>221</v>
      </c>
      <c r="C142" s="6">
        <v>178</v>
      </c>
      <c r="D142" s="7">
        <f t="shared" si="4"/>
        <v>-0.19457013574660631</v>
      </c>
      <c r="E142" s="6">
        <v>1287</v>
      </c>
      <c r="F142" s="6">
        <v>1415</v>
      </c>
      <c r="G142" s="7">
        <f t="shared" si="5"/>
        <v>9.9456099456099567E-2</v>
      </c>
    </row>
    <row r="143" spans="1:7" x14ac:dyDescent="0.25">
      <c r="A143" s="5">
        <v>1104</v>
      </c>
      <c r="B143" s="6">
        <v>299</v>
      </c>
      <c r="C143" s="6">
        <v>241</v>
      </c>
      <c r="D143" s="7">
        <f t="shared" si="4"/>
        <v>-0.19397993311036787</v>
      </c>
      <c r="E143" s="6">
        <v>1560</v>
      </c>
      <c r="F143" s="6">
        <v>1712</v>
      </c>
      <c r="G143" s="7">
        <f t="shared" si="5"/>
        <v>9.7435897435897534E-2</v>
      </c>
    </row>
    <row r="144" spans="1:7" x14ac:dyDescent="0.25">
      <c r="A144" s="5">
        <v>1115</v>
      </c>
      <c r="B144" s="6">
        <v>166</v>
      </c>
      <c r="C144" s="6">
        <v>134</v>
      </c>
      <c r="D144" s="7">
        <f t="shared" si="4"/>
        <v>-0.19277108433734935</v>
      </c>
      <c r="E144" s="6">
        <v>896</v>
      </c>
      <c r="F144" s="6">
        <v>1021</v>
      </c>
      <c r="G144" s="7">
        <f t="shared" si="5"/>
        <v>0.1395089285714286</v>
      </c>
    </row>
    <row r="145" spans="1:7" x14ac:dyDescent="0.25">
      <c r="A145" s="5">
        <v>1225</v>
      </c>
      <c r="B145" s="6">
        <v>457</v>
      </c>
      <c r="C145" s="6">
        <v>369</v>
      </c>
      <c r="D145" s="7">
        <f t="shared" si="4"/>
        <v>-0.19256017505470457</v>
      </c>
      <c r="E145" s="6">
        <v>2336</v>
      </c>
      <c r="F145" s="6">
        <v>2509</v>
      </c>
      <c r="G145" s="7">
        <f t="shared" si="5"/>
        <v>7.4058219178082085E-2</v>
      </c>
    </row>
    <row r="146" spans="1:7" x14ac:dyDescent="0.25">
      <c r="A146" s="5">
        <v>1234</v>
      </c>
      <c r="B146" s="6">
        <v>288</v>
      </c>
      <c r="C146" s="6">
        <v>233</v>
      </c>
      <c r="D146" s="7">
        <f t="shared" si="4"/>
        <v>-0.19097222222222221</v>
      </c>
      <c r="E146" s="6">
        <v>1238</v>
      </c>
      <c r="F146" s="6">
        <v>1290</v>
      </c>
      <c r="G146" s="7">
        <f t="shared" si="5"/>
        <v>4.2003231017770704E-2</v>
      </c>
    </row>
    <row r="147" spans="1:7" x14ac:dyDescent="0.25">
      <c r="A147" s="5">
        <v>1232</v>
      </c>
      <c r="B147" s="6">
        <v>645</v>
      </c>
      <c r="C147" s="6">
        <v>522</v>
      </c>
      <c r="D147" s="7">
        <f t="shared" si="4"/>
        <v>-0.19069767441860463</v>
      </c>
      <c r="E147" s="6">
        <v>4161</v>
      </c>
      <c r="F147" s="6">
        <v>4573</v>
      </c>
      <c r="G147" s="7">
        <f t="shared" si="5"/>
        <v>9.9014659937515015E-2</v>
      </c>
    </row>
    <row r="148" spans="1:7" x14ac:dyDescent="0.25">
      <c r="A148" s="5">
        <v>986</v>
      </c>
      <c r="B148" s="6">
        <v>168</v>
      </c>
      <c r="C148" s="6">
        <v>136</v>
      </c>
      <c r="D148" s="7">
        <f t="shared" si="4"/>
        <v>-0.19047619047619047</v>
      </c>
      <c r="E148" s="6">
        <v>791</v>
      </c>
      <c r="F148" s="6">
        <v>933</v>
      </c>
      <c r="G148" s="7">
        <f t="shared" si="5"/>
        <v>0.17951959544879892</v>
      </c>
    </row>
    <row r="149" spans="1:7" x14ac:dyDescent="0.25">
      <c r="A149" s="5">
        <v>993</v>
      </c>
      <c r="B149" s="6">
        <v>138</v>
      </c>
      <c r="C149" s="6">
        <v>112</v>
      </c>
      <c r="D149" s="7">
        <f t="shared" si="4"/>
        <v>-0.18840579710144922</v>
      </c>
      <c r="E149" s="6">
        <v>592</v>
      </c>
      <c r="F149" s="6">
        <v>643</v>
      </c>
      <c r="G149" s="7">
        <f t="shared" si="5"/>
        <v>8.6148648648648685E-2</v>
      </c>
    </row>
    <row r="150" spans="1:7" x14ac:dyDescent="0.25">
      <c r="A150" s="5">
        <v>1119</v>
      </c>
      <c r="B150" s="6">
        <v>101</v>
      </c>
      <c r="C150" s="6">
        <v>82</v>
      </c>
      <c r="D150" s="7">
        <f t="shared" si="4"/>
        <v>-0.18811881188118806</v>
      </c>
      <c r="E150" s="6">
        <v>715</v>
      </c>
      <c r="F150" s="6">
        <v>743</v>
      </c>
      <c r="G150" s="7">
        <f t="shared" si="5"/>
        <v>3.9160839160839123E-2</v>
      </c>
    </row>
    <row r="151" spans="1:7" x14ac:dyDescent="0.25">
      <c r="A151" s="5">
        <v>1166</v>
      </c>
      <c r="B151" s="6">
        <v>463</v>
      </c>
      <c r="C151" s="6">
        <v>377</v>
      </c>
      <c r="D151" s="7">
        <f t="shared" si="4"/>
        <v>-0.18574514038876888</v>
      </c>
      <c r="E151" s="6">
        <v>1700</v>
      </c>
      <c r="F151" s="6">
        <v>1860</v>
      </c>
      <c r="G151" s="7">
        <f t="shared" si="5"/>
        <v>9.4117647058823639E-2</v>
      </c>
    </row>
    <row r="152" spans="1:7" x14ac:dyDescent="0.25">
      <c r="A152" s="5">
        <v>1177</v>
      </c>
      <c r="B152" s="6">
        <v>243</v>
      </c>
      <c r="C152" s="6">
        <v>198</v>
      </c>
      <c r="D152" s="7">
        <f t="shared" si="4"/>
        <v>-0.18518518518518523</v>
      </c>
      <c r="E152" s="6">
        <v>986</v>
      </c>
      <c r="F152" s="6">
        <v>1099</v>
      </c>
      <c r="G152" s="7">
        <f t="shared" si="5"/>
        <v>0.11460446247464495</v>
      </c>
    </row>
    <row r="153" spans="1:7" x14ac:dyDescent="0.25">
      <c r="A153" s="5">
        <v>1189</v>
      </c>
      <c r="B153" s="6">
        <v>304</v>
      </c>
      <c r="C153" s="6">
        <v>248</v>
      </c>
      <c r="D153" s="7">
        <f t="shared" si="4"/>
        <v>-0.18421052631578949</v>
      </c>
      <c r="E153" s="6">
        <v>1271</v>
      </c>
      <c r="F153" s="6">
        <v>1354</v>
      </c>
      <c r="G153" s="7">
        <f t="shared" si="5"/>
        <v>6.5302911093626959E-2</v>
      </c>
    </row>
    <row r="154" spans="1:7" x14ac:dyDescent="0.25">
      <c r="A154" s="5">
        <v>1063</v>
      </c>
      <c r="B154" s="6">
        <v>266</v>
      </c>
      <c r="C154" s="6">
        <v>218</v>
      </c>
      <c r="D154" s="7">
        <f t="shared" si="4"/>
        <v>-0.18045112781954886</v>
      </c>
      <c r="E154" s="6">
        <v>1242</v>
      </c>
      <c r="F154" s="6">
        <v>1323</v>
      </c>
      <c r="G154" s="7">
        <f t="shared" si="5"/>
        <v>6.5217391304347894E-2</v>
      </c>
    </row>
    <row r="155" spans="1:7" x14ac:dyDescent="0.25">
      <c r="A155" s="5">
        <v>995</v>
      </c>
      <c r="B155" s="6">
        <v>150</v>
      </c>
      <c r="C155" s="6">
        <v>123</v>
      </c>
      <c r="D155" s="7">
        <f t="shared" si="4"/>
        <v>-0.18000000000000005</v>
      </c>
      <c r="E155" s="6">
        <v>817</v>
      </c>
      <c r="F155" s="6">
        <v>866</v>
      </c>
      <c r="G155" s="7">
        <f t="shared" si="5"/>
        <v>5.9975520195838516E-2</v>
      </c>
    </row>
    <row r="156" spans="1:7" x14ac:dyDescent="0.25">
      <c r="A156" s="5">
        <v>1133</v>
      </c>
      <c r="B156" s="6">
        <v>213</v>
      </c>
      <c r="C156" s="6">
        <v>175</v>
      </c>
      <c r="D156" s="7">
        <f t="shared" si="4"/>
        <v>-0.17840375586854462</v>
      </c>
      <c r="E156" s="6">
        <v>892</v>
      </c>
      <c r="F156" s="6">
        <v>959</v>
      </c>
      <c r="G156" s="7">
        <f t="shared" si="5"/>
        <v>7.5112107623318325E-2</v>
      </c>
    </row>
    <row r="157" spans="1:7" x14ac:dyDescent="0.25">
      <c r="A157" s="5">
        <v>992</v>
      </c>
      <c r="B157" s="6">
        <v>209</v>
      </c>
      <c r="C157" s="6">
        <v>172</v>
      </c>
      <c r="D157" s="7">
        <f t="shared" si="4"/>
        <v>-0.17703349282296654</v>
      </c>
      <c r="E157" s="6">
        <v>825</v>
      </c>
      <c r="F157" s="6">
        <v>881</v>
      </c>
      <c r="G157" s="7">
        <f t="shared" si="5"/>
        <v>6.7878787878787872E-2</v>
      </c>
    </row>
    <row r="158" spans="1:7" x14ac:dyDescent="0.25">
      <c r="A158" s="5">
        <v>1195</v>
      </c>
      <c r="B158" s="6">
        <v>470</v>
      </c>
      <c r="C158" s="6">
        <v>387</v>
      </c>
      <c r="D158" s="7">
        <f t="shared" si="4"/>
        <v>-0.17659574468085104</v>
      </c>
      <c r="E158" s="6">
        <v>1837</v>
      </c>
      <c r="F158" s="6">
        <v>1989</v>
      </c>
      <c r="G158" s="7">
        <f t="shared" si="5"/>
        <v>8.274360370168754E-2</v>
      </c>
    </row>
    <row r="159" spans="1:7" x14ac:dyDescent="0.25">
      <c r="A159" s="5">
        <v>1236</v>
      </c>
      <c r="B159" s="6">
        <v>443</v>
      </c>
      <c r="C159" s="6">
        <v>365</v>
      </c>
      <c r="D159" s="7">
        <f t="shared" si="4"/>
        <v>-0.17607223476297973</v>
      </c>
      <c r="E159" s="6">
        <v>2799</v>
      </c>
      <c r="F159" s="6">
        <v>3128</v>
      </c>
      <c r="G159" s="7">
        <f t="shared" si="5"/>
        <v>0.11754197927831367</v>
      </c>
    </row>
    <row r="160" spans="1:7" x14ac:dyDescent="0.25">
      <c r="A160" s="5">
        <v>1075</v>
      </c>
      <c r="B160" s="6">
        <v>97</v>
      </c>
      <c r="C160" s="6">
        <v>80</v>
      </c>
      <c r="D160" s="7">
        <f t="shared" si="4"/>
        <v>-0.17525773195876293</v>
      </c>
      <c r="E160" s="6">
        <v>552</v>
      </c>
      <c r="F160" s="6">
        <v>563</v>
      </c>
      <c r="G160" s="7">
        <f t="shared" si="5"/>
        <v>1.9927536231884035E-2</v>
      </c>
    </row>
    <row r="161" spans="1:7" x14ac:dyDescent="0.25">
      <c r="A161" s="5">
        <v>994</v>
      </c>
      <c r="B161" s="6">
        <v>204</v>
      </c>
      <c r="C161" s="6">
        <v>169</v>
      </c>
      <c r="D161" s="7">
        <f t="shared" si="4"/>
        <v>-0.17156862745098034</v>
      </c>
      <c r="E161" s="6">
        <v>883</v>
      </c>
      <c r="F161" s="6">
        <v>954</v>
      </c>
      <c r="G161" s="7">
        <f t="shared" si="5"/>
        <v>8.0407701019252542E-2</v>
      </c>
    </row>
    <row r="162" spans="1:7" x14ac:dyDescent="0.25">
      <c r="A162" s="5">
        <v>2703</v>
      </c>
      <c r="B162" s="6">
        <v>1140</v>
      </c>
      <c r="C162" s="6">
        <v>945</v>
      </c>
      <c r="D162" s="7">
        <f t="shared" si="4"/>
        <v>-0.17105263157894735</v>
      </c>
      <c r="E162" s="6">
        <v>5261</v>
      </c>
      <c r="F162" s="6">
        <v>6508</v>
      </c>
      <c r="G162" s="7">
        <f t="shared" si="5"/>
        <v>0.23702718114426924</v>
      </c>
    </row>
    <row r="163" spans="1:7" x14ac:dyDescent="0.25">
      <c r="A163" s="5">
        <v>1064</v>
      </c>
      <c r="B163" s="6">
        <v>211</v>
      </c>
      <c r="C163" s="6">
        <v>175</v>
      </c>
      <c r="D163" s="7">
        <f t="shared" si="4"/>
        <v>-0.17061611374407581</v>
      </c>
      <c r="E163" s="6">
        <v>891</v>
      </c>
      <c r="F163" s="6">
        <v>998</v>
      </c>
      <c r="G163" s="7">
        <f t="shared" si="5"/>
        <v>0.12008978675645343</v>
      </c>
    </row>
    <row r="164" spans="1:7" x14ac:dyDescent="0.25">
      <c r="A164" s="5">
        <v>1099</v>
      </c>
      <c r="B164" s="6">
        <v>340</v>
      </c>
      <c r="C164" s="6">
        <v>282</v>
      </c>
      <c r="D164" s="7">
        <f t="shared" si="4"/>
        <v>-0.1705882352941176</v>
      </c>
      <c r="E164" s="6">
        <v>1845</v>
      </c>
      <c r="F164" s="6">
        <v>2041</v>
      </c>
      <c r="G164" s="7">
        <f t="shared" si="5"/>
        <v>0.10623306233062335</v>
      </c>
    </row>
    <row r="165" spans="1:7" x14ac:dyDescent="0.25">
      <c r="A165" s="5">
        <v>1124</v>
      </c>
      <c r="B165" s="6">
        <v>159</v>
      </c>
      <c r="C165" s="6">
        <v>132</v>
      </c>
      <c r="D165" s="7">
        <f t="shared" si="4"/>
        <v>-0.16981132075471694</v>
      </c>
      <c r="E165" s="6">
        <v>736</v>
      </c>
      <c r="F165" s="6">
        <v>790</v>
      </c>
      <c r="G165" s="7">
        <f t="shared" si="5"/>
        <v>7.3369565217391353E-2</v>
      </c>
    </row>
    <row r="166" spans="1:7" x14ac:dyDescent="0.25">
      <c r="A166" s="5">
        <v>1102</v>
      </c>
      <c r="B166" s="6">
        <v>281</v>
      </c>
      <c r="C166" s="6">
        <v>234</v>
      </c>
      <c r="D166" s="7">
        <f t="shared" si="4"/>
        <v>-0.16725978647686834</v>
      </c>
      <c r="E166" s="6">
        <v>1354</v>
      </c>
      <c r="F166" s="6">
        <v>1458</v>
      </c>
      <c r="G166" s="7">
        <f t="shared" si="5"/>
        <v>7.6809453471196498E-2</v>
      </c>
    </row>
    <row r="167" spans="1:7" x14ac:dyDescent="0.25">
      <c r="A167" s="5">
        <v>1205</v>
      </c>
      <c r="B167" s="6">
        <v>295</v>
      </c>
      <c r="C167" s="6">
        <v>246</v>
      </c>
      <c r="D167" s="7">
        <f t="shared" si="4"/>
        <v>-0.16610169491525428</v>
      </c>
      <c r="E167" s="6">
        <v>992</v>
      </c>
      <c r="F167" s="6">
        <v>1063</v>
      </c>
      <c r="G167" s="7">
        <f t="shared" si="5"/>
        <v>7.1572580645161255E-2</v>
      </c>
    </row>
    <row r="168" spans="1:7" x14ac:dyDescent="0.25">
      <c r="A168" s="5">
        <v>971</v>
      </c>
      <c r="B168" s="6">
        <v>122</v>
      </c>
      <c r="C168" s="6">
        <v>102</v>
      </c>
      <c r="D168" s="7">
        <f t="shared" si="4"/>
        <v>-0.16393442622950816</v>
      </c>
      <c r="E168" s="6">
        <v>562</v>
      </c>
      <c r="F168" s="6">
        <v>600</v>
      </c>
      <c r="G168" s="7">
        <f t="shared" si="5"/>
        <v>6.7615658362989217E-2</v>
      </c>
    </row>
    <row r="169" spans="1:7" x14ac:dyDescent="0.25">
      <c r="A169" s="5">
        <v>979</v>
      </c>
      <c r="B169" s="6">
        <v>238</v>
      </c>
      <c r="C169" s="6">
        <v>199</v>
      </c>
      <c r="D169" s="7">
        <f t="shared" si="4"/>
        <v>-0.16386554621848737</v>
      </c>
      <c r="E169" s="6">
        <v>1232</v>
      </c>
      <c r="F169" s="6">
        <v>1317</v>
      </c>
      <c r="G169" s="7">
        <f t="shared" si="5"/>
        <v>6.8993506493506551E-2</v>
      </c>
    </row>
    <row r="170" spans="1:7" x14ac:dyDescent="0.25">
      <c r="A170" s="5">
        <v>1190</v>
      </c>
      <c r="B170" s="6">
        <v>392</v>
      </c>
      <c r="C170" s="6">
        <v>328</v>
      </c>
      <c r="D170" s="7">
        <f t="shared" si="4"/>
        <v>-0.16326530612244894</v>
      </c>
      <c r="E170" s="6">
        <v>1419</v>
      </c>
      <c r="F170" s="6">
        <v>1550</v>
      </c>
      <c r="G170" s="7">
        <f t="shared" si="5"/>
        <v>9.2318534178999379E-2</v>
      </c>
    </row>
    <row r="171" spans="1:7" x14ac:dyDescent="0.25">
      <c r="A171" s="5">
        <v>1163</v>
      </c>
      <c r="B171" s="6">
        <v>346</v>
      </c>
      <c r="C171" s="6">
        <v>290</v>
      </c>
      <c r="D171" s="7">
        <f t="shared" si="4"/>
        <v>-0.16184971098265899</v>
      </c>
      <c r="E171" s="6">
        <v>1258</v>
      </c>
      <c r="F171" s="6">
        <v>1486</v>
      </c>
      <c r="G171" s="7">
        <f t="shared" si="5"/>
        <v>0.18124006359300471</v>
      </c>
    </row>
    <row r="172" spans="1:7" x14ac:dyDescent="0.25">
      <c r="A172" s="5">
        <v>1074</v>
      </c>
      <c r="B172" s="6">
        <v>99</v>
      </c>
      <c r="C172" s="6">
        <v>83</v>
      </c>
      <c r="D172" s="7">
        <f t="shared" si="4"/>
        <v>-0.16161616161616166</v>
      </c>
      <c r="E172" s="6">
        <v>782</v>
      </c>
      <c r="F172" s="6">
        <v>837</v>
      </c>
      <c r="G172" s="7">
        <f t="shared" si="5"/>
        <v>7.0332480818414256E-2</v>
      </c>
    </row>
    <row r="173" spans="1:7" x14ac:dyDescent="0.25">
      <c r="A173" s="5">
        <v>1171</v>
      </c>
      <c r="B173" s="6">
        <v>155</v>
      </c>
      <c r="C173" s="6">
        <v>130</v>
      </c>
      <c r="D173" s="7">
        <f t="shared" si="4"/>
        <v>-0.16129032258064513</v>
      </c>
      <c r="E173" s="6">
        <v>779</v>
      </c>
      <c r="F173" s="6">
        <v>834</v>
      </c>
      <c r="G173" s="7">
        <f t="shared" si="5"/>
        <v>7.0603337612323402E-2</v>
      </c>
    </row>
    <row r="174" spans="1:7" x14ac:dyDescent="0.25">
      <c r="A174" s="5">
        <v>1153</v>
      </c>
      <c r="B174" s="6">
        <v>185</v>
      </c>
      <c r="C174" s="6">
        <v>156</v>
      </c>
      <c r="D174" s="7">
        <f t="shared" si="4"/>
        <v>-0.15675675675675671</v>
      </c>
      <c r="E174" s="6">
        <v>907</v>
      </c>
      <c r="F174" s="6">
        <v>1013</v>
      </c>
      <c r="G174" s="7">
        <f t="shared" si="5"/>
        <v>0.11686879823594265</v>
      </c>
    </row>
    <row r="175" spans="1:7" x14ac:dyDescent="0.25">
      <c r="A175" s="5">
        <v>1207</v>
      </c>
      <c r="B175" s="6">
        <v>308</v>
      </c>
      <c r="C175" s="6">
        <v>260</v>
      </c>
      <c r="D175" s="7">
        <f t="shared" si="4"/>
        <v>-0.1558441558441559</v>
      </c>
      <c r="E175" s="6">
        <v>1383</v>
      </c>
      <c r="F175" s="6">
        <v>1468</v>
      </c>
      <c r="G175" s="7">
        <f t="shared" si="5"/>
        <v>6.1460592913955114E-2</v>
      </c>
    </row>
    <row r="176" spans="1:7" x14ac:dyDescent="0.25">
      <c r="A176" s="5">
        <v>1101</v>
      </c>
      <c r="B176" s="6">
        <v>380</v>
      </c>
      <c r="C176" s="6">
        <v>321</v>
      </c>
      <c r="D176" s="7">
        <f t="shared" si="4"/>
        <v>-0.15526315789473688</v>
      </c>
      <c r="E176" s="6">
        <v>1954</v>
      </c>
      <c r="F176" s="6">
        <v>2125</v>
      </c>
      <c r="G176" s="7">
        <f t="shared" si="5"/>
        <v>8.7512794268167937E-2</v>
      </c>
    </row>
    <row r="177" spans="1:7" x14ac:dyDescent="0.25">
      <c r="A177" s="5">
        <v>1157</v>
      </c>
      <c r="B177" s="6">
        <v>181</v>
      </c>
      <c r="C177" s="6">
        <v>153</v>
      </c>
      <c r="D177" s="7">
        <f t="shared" si="4"/>
        <v>-0.15469613259668513</v>
      </c>
      <c r="E177" s="6">
        <v>566</v>
      </c>
      <c r="F177" s="6">
        <v>626</v>
      </c>
      <c r="G177" s="7">
        <f t="shared" si="5"/>
        <v>0.10600706713780927</v>
      </c>
    </row>
    <row r="178" spans="1:7" x14ac:dyDescent="0.25">
      <c r="A178" s="5">
        <v>1048</v>
      </c>
      <c r="B178" s="6">
        <v>176</v>
      </c>
      <c r="C178" s="6">
        <v>149</v>
      </c>
      <c r="D178" s="7">
        <f t="shared" si="4"/>
        <v>-0.15340909090909094</v>
      </c>
      <c r="E178" s="6">
        <v>676</v>
      </c>
      <c r="F178" s="6">
        <v>725</v>
      </c>
      <c r="G178" s="7">
        <f t="shared" si="5"/>
        <v>7.2485207100591698E-2</v>
      </c>
    </row>
    <row r="179" spans="1:7" x14ac:dyDescent="0.25">
      <c r="A179" s="5">
        <v>1194</v>
      </c>
      <c r="B179" s="6">
        <v>1019</v>
      </c>
      <c r="C179" s="6">
        <v>865</v>
      </c>
      <c r="D179" s="7">
        <f t="shared" si="4"/>
        <v>-0.15112855740922471</v>
      </c>
      <c r="E179" s="6">
        <v>5194</v>
      </c>
      <c r="F179" s="6">
        <v>6040</v>
      </c>
      <c r="G179" s="7">
        <f t="shared" si="5"/>
        <v>0.16288024643819798</v>
      </c>
    </row>
    <row r="180" spans="1:7" x14ac:dyDescent="0.25">
      <c r="A180" s="5">
        <v>1139</v>
      </c>
      <c r="B180" s="6">
        <v>229</v>
      </c>
      <c r="C180" s="6">
        <v>195</v>
      </c>
      <c r="D180" s="7">
        <f t="shared" si="4"/>
        <v>-0.14847161572052403</v>
      </c>
      <c r="E180" s="6">
        <v>957</v>
      </c>
      <c r="F180" s="6">
        <v>1052</v>
      </c>
      <c r="G180" s="7">
        <f t="shared" si="5"/>
        <v>9.9268547544409724E-2</v>
      </c>
    </row>
    <row r="181" spans="1:7" x14ac:dyDescent="0.25">
      <c r="A181" s="5">
        <v>996</v>
      </c>
      <c r="B181" s="6">
        <v>162</v>
      </c>
      <c r="C181" s="6">
        <v>138</v>
      </c>
      <c r="D181" s="7">
        <f t="shared" si="4"/>
        <v>-0.14814814814814814</v>
      </c>
      <c r="E181" s="6">
        <v>634</v>
      </c>
      <c r="F181" s="6">
        <v>688</v>
      </c>
      <c r="G181" s="7">
        <f t="shared" si="5"/>
        <v>8.5173501577286981E-2</v>
      </c>
    </row>
    <row r="182" spans="1:7" x14ac:dyDescent="0.25">
      <c r="A182" s="5">
        <v>1062</v>
      </c>
      <c r="B182" s="6">
        <v>217</v>
      </c>
      <c r="C182" s="6">
        <v>185</v>
      </c>
      <c r="D182" s="7">
        <f t="shared" si="4"/>
        <v>-0.14746543778801846</v>
      </c>
      <c r="E182" s="6">
        <v>963</v>
      </c>
      <c r="F182" s="6">
        <v>1062</v>
      </c>
      <c r="G182" s="7">
        <f t="shared" si="5"/>
        <v>0.10280373831775691</v>
      </c>
    </row>
    <row r="183" spans="1:7" x14ac:dyDescent="0.25">
      <c r="A183" s="5">
        <v>1082</v>
      </c>
      <c r="B183" s="6">
        <v>201</v>
      </c>
      <c r="C183" s="6">
        <v>172</v>
      </c>
      <c r="D183" s="7">
        <f t="shared" si="4"/>
        <v>-0.14427860696517414</v>
      </c>
      <c r="E183" s="6">
        <v>1040</v>
      </c>
      <c r="F183" s="6">
        <v>1094</v>
      </c>
      <c r="G183" s="7">
        <f t="shared" si="5"/>
        <v>5.1923076923076961E-2</v>
      </c>
    </row>
    <row r="184" spans="1:7" x14ac:dyDescent="0.25">
      <c r="A184" s="5">
        <v>1154</v>
      </c>
      <c r="B184" s="6">
        <v>132</v>
      </c>
      <c r="C184" s="6">
        <v>113</v>
      </c>
      <c r="D184" s="7">
        <f t="shared" si="4"/>
        <v>-0.14393939393939392</v>
      </c>
      <c r="E184" s="6">
        <v>496</v>
      </c>
      <c r="F184" s="6">
        <v>530</v>
      </c>
      <c r="G184" s="7">
        <f t="shared" si="5"/>
        <v>6.8548387096774244E-2</v>
      </c>
    </row>
    <row r="185" spans="1:7" x14ac:dyDescent="0.25">
      <c r="A185" s="5">
        <v>1131</v>
      </c>
      <c r="B185" s="6">
        <v>334</v>
      </c>
      <c r="C185" s="6">
        <v>286</v>
      </c>
      <c r="D185" s="7">
        <f t="shared" si="4"/>
        <v>-0.14371257485029942</v>
      </c>
      <c r="E185" s="6">
        <v>1289</v>
      </c>
      <c r="F185" s="6">
        <v>1415</v>
      </c>
      <c r="G185" s="7">
        <f t="shared" si="5"/>
        <v>9.775019394879747E-2</v>
      </c>
    </row>
    <row r="186" spans="1:7" x14ac:dyDescent="0.25">
      <c r="A186" s="5">
        <v>982</v>
      </c>
      <c r="B186" s="6">
        <v>231</v>
      </c>
      <c r="C186" s="6">
        <v>198</v>
      </c>
      <c r="D186" s="7">
        <f t="shared" si="4"/>
        <v>-0.1428571428571429</v>
      </c>
      <c r="E186" s="6">
        <v>1370</v>
      </c>
      <c r="F186" s="6">
        <v>1459</v>
      </c>
      <c r="G186" s="7">
        <f t="shared" si="5"/>
        <v>6.496350364963499E-2</v>
      </c>
    </row>
    <row r="187" spans="1:7" x14ac:dyDescent="0.25">
      <c r="A187" s="5">
        <v>1179</v>
      </c>
      <c r="B187" s="6">
        <v>324</v>
      </c>
      <c r="C187" s="6">
        <v>278</v>
      </c>
      <c r="D187" s="7">
        <f t="shared" si="4"/>
        <v>-0.14197530864197527</v>
      </c>
      <c r="E187" s="6">
        <v>2137</v>
      </c>
      <c r="F187" s="6">
        <v>2286</v>
      </c>
      <c r="G187" s="7">
        <f t="shared" si="5"/>
        <v>6.9723912026204982E-2</v>
      </c>
    </row>
    <row r="188" spans="1:7" x14ac:dyDescent="0.25">
      <c r="A188" s="5">
        <v>1243</v>
      </c>
      <c r="B188" s="6">
        <v>175</v>
      </c>
      <c r="C188" s="6">
        <v>151</v>
      </c>
      <c r="D188" s="7">
        <f t="shared" si="4"/>
        <v>-0.13714285714285712</v>
      </c>
      <c r="E188" s="6">
        <v>960</v>
      </c>
      <c r="F188" s="6">
        <v>1119</v>
      </c>
      <c r="G188" s="7">
        <f t="shared" si="5"/>
        <v>0.16562499999999991</v>
      </c>
    </row>
    <row r="189" spans="1:7" x14ac:dyDescent="0.25">
      <c r="A189" s="5">
        <v>1130</v>
      </c>
      <c r="B189" s="6">
        <v>169</v>
      </c>
      <c r="C189" s="6">
        <v>146</v>
      </c>
      <c r="D189" s="7">
        <f t="shared" si="4"/>
        <v>-0.13609467455621305</v>
      </c>
      <c r="E189" s="6">
        <v>787</v>
      </c>
      <c r="F189" s="6">
        <v>855</v>
      </c>
      <c r="G189" s="7">
        <f t="shared" si="5"/>
        <v>8.640406607369755E-2</v>
      </c>
    </row>
    <row r="190" spans="1:7" x14ac:dyDescent="0.25">
      <c r="A190" s="5">
        <v>1092</v>
      </c>
      <c r="B190" s="6">
        <v>236</v>
      </c>
      <c r="C190" s="6">
        <v>204</v>
      </c>
      <c r="D190" s="7">
        <f t="shared" si="4"/>
        <v>-0.13559322033898302</v>
      </c>
      <c r="E190" s="6">
        <v>1048</v>
      </c>
      <c r="F190" s="6">
        <v>1105</v>
      </c>
      <c r="G190" s="7">
        <f t="shared" si="5"/>
        <v>5.4389312977099147E-2</v>
      </c>
    </row>
    <row r="191" spans="1:7" x14ac:dyDescent="0.25">
      <c r="A191" s="5">
        <v>1174</v>
      </c>
      <c r="B191" s="6">
        <v>195</v>
      </c>
      <c r="C191" s="6">
        <v>169</v>
      </c>
      <c r="D191" s="7">
        <f t="shared" si="4"/>
        <v>-0.1333333333333333</v>
      </c>
      <c r="E191" s="6">
        <v>907</v>
      </c>
      <c r="F191" s="6">
        <v>965</v>
      </c>
      <c r="G191" s="7">
        <f t="shared" si="5"/>
        <v>6.3947078280044201E-2</v>
      </c>
    </row>
    <row r="192" spans="1:7" x14ac:dyDescent="0.25">
      <c r="A192" s="5">
        <v>1125</v>
      </c>
      <c r="B192" s="6">
        <v>293</v>
      </c>
      <c r="C192" s="6">
        <v>254</v>
      </c>
      <c r="D192" s="7">
        <f t="shared" si="4"/>
        <v>-0.13310580204778155</v>
      </c>
      <c r="E192" s="6">
        <v>1422</v>
      </c>
      <c r="F192" s="6">
        <v>1472</v>
      </c>
      <c r="G192" s="7">
        <f t="shared" si="5"/>
        <v>3.5161744022503605E-2</v>
      </c>
    </row>
    <row r="193" spans="1:7" x14ac:dyDescent="0.25">
      <c r="A193" s="5">
        <v>969</v>
      </c>
      <c r="B193" s="6">
        <v>239</v>
      </c>
      <c r="C193" s="6">
        <v>208</v>
      </c>
      <c r="D193" s="7">
        <f t="shared" si="4"/>
        <v>-0.12970711297071125</v>
      </c>
      <c r="E193" s="6">
        <v>1250</v>
      </c>
      <c r="F193" s="6">
        <v>1320</v>
      </c>
      <c r="G193" s="7">
        <f t="shared" si="5"/>
        <v>5.600000000000005E-2</v>
      </c>
    </row>
    <row r="194" spans="1:7" x14ac:dyDescent="0.25">
      <c r="A194" s="5">
        <v>1278</v>
      </c>
      <c r="B194" s="6">
        <v>102</v>
      </c>
      <c r="C194" s="6">
        <v>89</v>
      </c>
      <c r="D194" s="7">
        <f t="shared" si="4"/>
        <v>-0.12745098039215685</v>
      </c>
      <c r="E194" s="6">
        <v>763</v>
      </c>
      <c r="F194" s="6">
        <v>868</v>
      </c>
      <c r="G194" s="7">
        <f t="shared" si="5"/>
        <v>0.13761467889908263</v>
      </c>
    </row>
    <row r="195" spans="1:7" x14ac:dyDescent="0.25">
      <c r="A195" s="5">
        <v>1086</v>
      </c>
      <c r="B195" s="6">
        <v>268</v>
      </c>
      <c r="C195" s="6">
        <v>234</v>
      </c>
      <c r="D195" s="7">
        <f t="shared" si="4"/>
        <v>-0.12686567164179108</v>
      </c>
      <c r="E195" s="6">
        <v>1248</v>
      </c>
      <c r="F195" s="6">
        <v>1362</v>
      </c>
      <c r="G195" s="7">
        <f t="shared" si="5"/>
        <v>9.1346153846153744E-2</v>
      </c>
    </row>
    <row r="196" spans="1:7" x14ac:dyDescent="0.25">
      <c r="A196" s="5">
        <v>1175</v>
      </c>
      <c r="B196" s="6">
        <v>261</v>
      </c>
      <c r="C196" s="6">
        <v>228</v>
      </c>
      <c r="D196" s="7">
        <f t="shared" ref="D196:D225" si="6">(C196/B196)-1</f>
        <v>-0.12643678160919536</v>
      </c>
      <c r="E196" s="6">
        <v>1063</v>
      </c>
      <c r="F196" s="6">
        <v>1137</v>
      </c>
      <c r="G196" s="7">
        <f t="shared" ref="G196:G225" si="7">(F196/E196-1)</f>
        <v>6.9614299153339498E-2</v>
      </c>
    </row>
    <row r="197" spans="1:7" x14ac:dyDescent="0.25">
      <c r="A197" s="5">
        <v>966</v>
      </c>
      <c r="B197" s="6">
        <v>237</v>
      </c>
      <c r="C197" s="6">
        <v>208</v>
      </c>
      <c r="D197" s="7">
        <f t="shared" si="6"/>
        <v>-0.12236286919831219</v>
      </c>
      <c r="E197" s="6">
        <v>992</v>
      </c>
      <c r="F197" s="6">
        <v>1099</v>
      </c>
      <c r="G197" s="7">
        <f t="shared" si="7"/>
        <v>0.10786290322580649</v>
      </c>
    </row>
    <row r="198" spans="1:7" x14ac:dyDescent="0.25">
      <c r="A198" s="5">
        <v>1025</v>
      </c>
      <c r="B198" s="6">
        <v>82</v>
      </c>
      <c r="C198" s="6">
        <v>72</v>
      </c>
      <c r="D198" s="7">
        <f t="shared" si="6"/>
        <v>-0.12195121951219512</v>
      </c>
      <c r="E198" s="6">
        <v>437</v>
      </c>
      <c r="F198" s="6">
        <v>477</v>
      </c>
      <c r="G198" s="7">
        <f t="shared" si="7"/>
        <v>9.1533180778031964E-2</v>
      </c>
    </row>
    <row r="199" spans="1:7" x14ac:dyDescent="0.25">
      <c r="A199" s="5">
        <v>1238</v>
      </c>
      <c r="B199" s="6">
        <v>180</v>
      </c>
      <c r="C199" s="6">
        <v>159</v>
      </c>
      <c r="D199" s="7">
        <f t="shared" si="6"/>
        <v>-0.1166666666666667</v>
      </c>
      <c r="E199" s="6">
        <v>1434</v>
      </c>
      <c r="F199" s="6">
        <v>1751</v>
      </c>
      <c r="G199" s="7">
        <f t="shared" si="7"/>
        <v>0.22105997210599715</v>
      </c>
    </row>
    <row r="200" spans="1:7" x14ac:dyDescent="0.25">
      <c r="A200" s="5">
        <v>1187</v>
      </c>
      <c r="B200" s="6">
        <v>183</v>
      </c>
      <c r="C200" s="6">
        <v>162</v>
      </c>
      <c r="D200" s="7">
        <f t="shared" si="6"/>
        <v>-0.11475409836065575</v>
      </c>
      <c r="E200" s="6">
        <v>1055</v>
      </c>
      <c r="F200" s="6">
        <v>1151</v>
      </c>
      <c r="G200" s="7">
        <f t="shared" si="7"/>
        <v>9.099526066350716E-2</v>
      </c>
    </row>
    <row r="201" spans="1:7" x14ac:dyDescent="0.25">
      <c r="A201" s="5">
        <v>970</v>
      </c>
      <c r="B201" s="6">
        <v>301</v>
      </c>
      <c r="C201" s="6">
        <v>267</v>
      </c>
      <c r="D201" s="7">
        <f t="shared" si="6"/>
        <v>-0.1129568106312292</v>
      </c>
      <c r="E201" s="6">
        <v>1387</v>
      </c>
      <c r="F201" s="6">
        <v>1510</v>
      </c>
      <c r="G201" s="7">
        <f t="shared" si="7"/>
        <v>8.8680605623648212E-2</v>
      </c>
    </row>
    <row r="202" spans="1:7" x14ac:dyDescent="0.25">
      <c r="A202" s="5">
        <v>1241</v>
      </c>
      <c r="B202" s="6">
        <v>381</v>
      </c>
      <c r="C202" s="6">
        <v>342</v>
      </c>
      <c r="D202" s="7">
        <f t="shared" si="6"/>
        <v>-0.10236220472440949</v>
      </c>
      <c r="E202" s="6">
        <v>1787</v>
      </c>
      <c r="F202" s="6">
        <v>1919</v>
      </c>
      <c r="G202" s="7">
        <f t="shared" si="7"/>
        <v>7.386681589255728E-2</v>
      </c>
    </row>
    <row r="203" spans="1:7" x14ac:dyDescent="0.25">
      <c r="A203" s="5">
        <v>1132</v>
      </c>
      <c r="B203" s="6">
        <v>160</v>
      </c>
      <c r="C203" s="6">
        <v>144</v>
      </c>
      <c r="D203" s="7">
        <f t="shared" si="6"/>
        <v>-9.9999999999999978E-2</v>
      </c>
      <c r="E203" s="6">
        <v>721</v>
      </c>
      <c r="F203" s="6">
        <v>773</v>
      </c>
      <c r="G203" s="7">
        <f t="shared" si="7"/>
        <v>7.2122052704576944E-2</v>
      </c>
    </row>
    <row r="204" spans="1:7" x14ac:dyDescent="0.25">
      <c r="A204" s="5">
        <v>1188</v>
      </c>
      <c r="B204" s="6">
        <v>169</v>
      </c>
      <c r="C204" s="6">
        <v>154</v>
      </c>
      <c r="D204" s="7">
        <f t="shared" si="6"/>
        <v>-8.8757396449704151E-2</v>
      </c>
      <c r="E204" s="6">
        <v>1252</v>
      </c>
      <c r="F204" s="6">
        <v>1371</v>
      </c>
      <c r="G204" s="7">
        <f t="shared" si="7"/>
        <v>9.5047923322683747E-2</v>
      </c>
    </row>
    <row r="205" spans="1:7" x14ac:dyDescent="0.25">
      <c r="A205" s="5">
        <v>1246</v>
      </c>
      <c r="B205" s="6">
        <v>113</v>
      </c>
      <c r="C205" s="6">
        <v>103</v>
      </c>
      <c r="D205" s="7">
        <f t="shared" si="6"/>
        <v>-8.8495575221238965E-2</v>
      </c>
      <c r="E205" s="6">
        <v>632</v>
      </c>
      <c r="F205" s="6">
        <v>769</v>
      </c>
      <c r="G205" s="7">
        <f t="shared" si="7"/>
        <v>0.21677215189873422</v>
      </c>
    </row>
    <row r="206" spans="1:7" x14ac:dyDescent="0.25">
      <c r="A206" s="5">
        <v>1228</v>
      </c>
      <c r="B206" s="6">
        <v>1107</v>
      </c>
      <c r="C206" s="6">
        <v>1012</v>
      </c>
      <c r="D206" s="7">
        <f t="shared" si="6"/>
        <v>-8.5817524841915072E-2</v>
      </c>
      <c r="E206" s="6">
        <v>5708</v>
      </c>
      <c r="F206" s="6">
        <v>6710</v>
      </c>
      <c r="G206" s="7">
        <f t="shared" si="7"/>
        <v>0.17554309740714791</v>
      </c>
    </row>
    <row r="207" spans="1:7" x14ac:dyDescent="0.25">
      <c r="A207" s="5">
        <v>1242</v>
      </c>
      <c r="B207" s="6">
        <v>472</v>
      </c>
      <c r="C207" s="6">
        <v>434</v>
      </c>
      <c r="D207" s="7">
        <f t="shared" si="6"/>
        <v>-8.0508474576271194E-2</v>
      </c>
      <c r="E207" s="6">
        <v>2074</v>
      </c>
      <c r="F207" s="6">
        <v>2335</v>
      </c>
      <c r="G207" s="7">
        <f t="shared" si="7"/>
        <v>0.12584378013500475</v>
      </c>
    </row>
    <row r="208" spans="1:7" x14ac:dyDescent="0.25">
      <c r="A208" s="5">
        <v>1186</v>
      </c>
      <c r="B208" s="6">
        <v>169</v>
      </c>
      <c r="C208" s="6">
        <v>157</v>
      </c>
      <c r="D208" s="7">
        <f t="shared" si="6"/>
        <v>-7.1005917159763343E-2</v>
      </c>
      <c r="E208" s="6">
        <v>1082</v>
      </c>
      <c r="F208" s="6">
        <v>1159</v>
      </c>
      <c r="G208" s="7">
        <f t="shared" si="7"/>
        <v>7.1164510166358497E-2</v>
      </c>
    </row>
    <row r="209" spans="1:7" x14ac:dyDescent="0.25">
      <c r="A209" s="5">
        <v>1023</v>
      </c>
      <c r="B209" s="6">
        <v>118</v>
      </c>
      <c r="C209" s="6">
        <v>110</v>
      </c>
      <c r="D209" s="7">
        <f t="shared" si="6"/>
        <v>-6.7796610169491567E-2</v>
      </c>
      <c r="E209" s="6">
        <v>454</v>
      </c>
      <c r="F209" s="6">
        <v>491</v>
      </c>
      <c r="G209" s="7">
        <f t="shared" si="7"/>
        <v>8.1497797356828272E-2</v>
      </c>
    </row>
    <row r="210" spans="1:7" x14ac:dyDescent="0.25">
      <c r="A210" s="5">
        <v>1185</v>
      </c>
      <c r="B210" s="6">
        <v>232</v>
      </c>
      <c r="C210" s="6">
        <v>221</v>
      </c>
      <c r="D210" s="7">
        <f t="shared" si="6"/>
        <v>-4.7413793103448287E-2</v>
      </c>
      <c r="E210" s="6">
        <v>1110</v>
      </c>
      <c r="F210" s="6">
        <v>1206</v>
      </c>
      <c r="G210" s="7">
        <f t="shared" si="7"/>
        <v>8.6486486486486491E-2</v>
      </c>
    </row>
    <row r="211" spans="1:7" x14ac:dyDescent="0.25">
      <c r="A211" s="5">
        <v>1223</v>
      </c>
      <c r="B211" s="6">
        <v>182</v>
      </c>
      <c r="C211" s="6">
        <v>174</v>
      </c>
      <c r="D211" s="7">
        <f t="shared" si="6"/>
        <v>-4.3956043956043911E-2</v>
      </c>
      <c r="E211" s="6">
        <v>1323</v>
      </c>
      <c r="F211" s="6">
        <v>1490</v>
      </c>
      <c r="G211" s="7">
        <f t="shared" si="7"/>
        <v>0.12622826908541196</v>
      </c>
    </row>
    <row r="212" spans="1:7" x14ac:dyDescent="0.25">
      <c r="A212" s="5">
        <v>1040</v>
      </c>
      <c r="B212" s="6">
        <v>258</v>
      </c>
      <c r="C212" s="6">
        <v>247</v>
      </c>
      <c r="D212" s="7">
        <f t="shared" si="6"/>
        <v>-4.2635658914728647E-2</v>
      </c>
      <c r="E212" s="6">
        <v>1145</v>
      </c>
      <c r="F212" s="6">
        <v>1281</v>
      </c>
      <c r="G212" s="7">
        <f t="shared" si="7"/>
        <v>0.11877729257641922</v>
      </c>
    </row>
    <row r="213" spans="1:7" x14ac:dyDescent="0.25">
      <c r="A213" s="5">
        <v>1034</v>
      </c>
      <c r="B213" s="6">
        <v>214</v>
      </c>
      <c r="C213" s="6">
        <v>205</v>
      </c>
      <c r="D213" s="7">
        <f t="shared" si="6"/>
        <v>-4.2056074766355089E-2</v>
      </c>
      <c r="E213" s="6">
        <v>1005</v>
      </c>
      <c r="F213" s="6">
        <v>1108</v>
      </c>
      <c r="G213" s="7">
        <f t="shared" si="7"/>
        <v>0.10248756218905464</v>
      </c>
    </row>
    <row r="214" spans="1:7" x14ac:dyDescent="0.25">
      <c r="A214" s="5">
        <v>1224</v>
      </c>
      <c r="B214" s="6">
        <v>921</v>
      </c>
      <c r="C214" s="6">
        <v>891</v>
      </c>
      <c r="D214" s="7">
        <f t="shared" si="6"/>
        <v>-3.2573289902280145E-2</v>
      </c>
      <c r="E214" s="6">
        <v>5638</v>
      </c>
      <c r="F214" s="6">
        <v>7344</v>
      </c>
      <c r="G214" s="7">
        <f t="shared" si="7"/>
        <v>0.30258957076977655</v>
      </c>
    </row>
    <row r="215" spans="1:7" x14ac:dyDescent="0.25">
      <c r="A215" s="5">
        <v>1284</v>
      </c>
      <c r="B215" s="6">
        <v>523</v>
      </c>
      <c r="C215" s="6">
        <v>507</v>
      </c>
      <c r="D215" s="7">
        <f t="shared" si="6"/>
        <v>-3.0592734225621365E-2</v>
      </c>
      <c r="E215" s="6">
        <v>2765</v>
      </c>
      <c r="F215" s="6">
        <v>3038</v>
      </c>
      <c r="G215" s="7">
        <f t="shared" si="7"/>
        <v>9.8734177215189955E-2</v>
      </c>
    </row>
    <row r="216" spans="1:7" x14ac:dyDescent="0.25">
      <c r="A216" s="5">
        <v>1176</v>
      </c>
      <c r="B216" s="6">
        <v>128</v>
      </c>
      <c r="C216" s="6">
        <v>128</v>
      </c>
      <c r="D216" s="7">
        <f t="shared" si="6"/>
        <v>0</v>
      </c>
      <c r="E216" s="6">
        <v>618</v>
      </c>
      <c r="F216" s="6">
        <v>657</v>
      </c>
      <c r="G216" s="7">
        <f t="shared" si="7"/>
        <v>6.3106796116504826E-2</v>
      </c>
    </row>
    <row r="217" spans="1:7" x14ac:dyDescent="0.25">
      <c r="A217" s="5">
        <v>2692</v>
      </c>
      <c r="B217" s="6">
        <v>576</v>
      </c>
      <c r="C217" s="6">
        <v>577</v>
      </c>
      <c r="D217" s="7">
        <f t="shared" si="6"/>
        <v>1.7361111111111605E-3</v>
      </c>
      <c r="E217" s="6">
        <v>2951</v>
      </c>
      <c r="F217" s="6">
        <v>5002</v>
      </c>
      <c r="G217" s="7">
        <f t="shared" si="7"/>
        <v>0.69501863774991524</v>
      </c>
    </row>
    <row r="218" spans="1:7" x14ac:dyDescent="0.25">
      <c r="A218" s="5">
        <v>1180</v>
      </c>
      <c r="B218" s="6">
        <v>57</v>
      </c>
      <c r="C218" s="6">
        <v>60</v>
      </c>
      <c r="D218" s="7">
        <f t="shared" si="6"/>
        <v>5.2631578947368363E-2</v>
      </c>
      <c r="E218" s="6">
        <v>356</v>
      </c>
      <c r="F218" s="6">
        <v>411</v>
      </c>
      <c r="G218" s="7">
        <f t="shared" si="7"/>
        <v>0.15449438202247201</v>
      </c>
    </row>
    <row r="219" spans="1:7" x14ac:dyDescent="0.25">
      <c r="A219" s="5">
        <v>1269</v>
      </c>
      <c r="B219" s="6">
        <v>142</v>
      </c>
      <c r="C219" s="6">
        <v>165</v>
      </c>
      <c r="D219" s="7">
        <f t="shared" si="6"/>
        <v>0.1619718309859155</v>
      </c>
      <c r="E219" s="6">
        <v>1436</v>
      </c>
      <c r="F219" s="6">
        <v>1801</v>
      </c>
      <c r="G219" s="7">
        <f t="shared" si="7"/>
        <v>0.25417827298050133</v>
      </c>
    </row>
    <row r="220" spans="1:7" x14ac:dyDescent="0.25">
      <c r="A220" s="5">
        <v>1276</v>
      </c>
      <c r="B220" s="6">
        <v>167</v>
      </c>
      <c r="C220" s="6">
        <v>210</v>
      </c>
      <c r="D220" s="7">
        <f t="shared" si="6"/>
        <v>0.25748502994011968</v>
      </c>
      <c r="E220" s="6">
        <v>1809</v>
      </c>
      <c r="F220" s="6">
        <v>2010</v>
      </c>
      <c r="G220" s="7">
        <f t="shared" si="7"/>
        <v>0.11111111111111116</v>
      </c>
    </row>
    <row r="221" spans="1:7" x14ac:dyDescent="0.25">
      <c r="A221" s="5">
        <v>1279</v>
      </c>
      <c r="B221" s="6">
        <v>104</v>
      </c>
      <c r="C221" s="6">
        <v>133</v>
      </c>
      <c r="D221" s="7">
        <f t="shared" si="6"/>
        <v>0.27884615384615374</v>
      </c>
      <c r="E221" s="6">
        <v>971</v>
      </c>
      <c r="F221" s="6">
        <v>1142</v>
      </c>
      <c r="G221" s="7">
        <f t="shared" si="7"/>
        <v>0.17610710607621005</v>
      </c>
    </row>
    <row r="222" spans="1:7" x14ac:dyDescent="0.25">
      <c r="A222" s="5">
        <v>1274</v>
      </c>
      <c r="B222" s="6">
        <v>29</v>
      </c>
      <c r="C222" s="6">
        <v>41</v>
      </c>
      <c r="D222" s="7">
        <f t="shared" si="6"/>
        <v>0.4137931034482758</v>
      </c>
      <c r="E222" s="6">
        <v>202</v>
      </c>
      <c r="F222" s="6">
        <v>250</v>
      </c>
      <c r="G222" s="7">
        <f t="shared" si="7"/>
        <v>0.23762376237623761</v>
      </c>
    </row>
    <row r="223" spans="1:7" x14ac:dyDescent="0.25">
      <c r="A223" s="5">
        <v>1184</v>
      </c>
      <c r="B223" s="6">
        <v>158</v>
      </c>
      <c r="C223" s="6">
        <v>226</v>
      </c>
      <c r="D223" s="7">
        <f t="shared" si="6"/>
        <v>0.43037974683544311</v>
      </c>
      <c r="E223" s="6">
        <v>1341</v>
      </c>
      <c r="F223" s="6">
        <v>1432</v>
      </c>
      <c r="G223" s="7">
        <f t="shared" si="7"/>
        <v>6.785980611483966E-2</v>
      </c>
    </row>
    <row r="224" spans="1:7" x14ac:dyDescent="0.25">
      <c r="A224" s="5">
        <v>1280</v>
      </c>
      <c r="B224" s="6">
        <v>144</v>
      </c>
      <c r="C224" s="6">
        <v>221</v>
      </c>
      <c r="D224" s="7">
        <f t="shared" si="6"/>
        <v>0.53472222222222232</v>
      </c>
      <c r="E224" s="6">
        <v>1452</v>
      </c>
      <c r="F224" s="6">
        <v>1660</v>
      </c>
      <c r="G224" s="7">
        <f t="shared" si="7"/>
        <v>0.14325068870523405</v>
      </c>
    </row>
    <row r="225" spans="1:7" x14ac:dyDescent="0.25">
      <c r="A225" s="5">
        <v>1273</v>
      </c>
      <c r="B225" s="6">
        <v>89</v>
      </c>
      <c r="C225" s="6">
        <v>160</v>
      </c>
      <c r="D225" s="7">
        <f t="shared" si="6"/>
        <v>0.797752808988764</v>
      </c>
      <c r="E225" s="6">
        <v>1157</v>
      </c>
      <c r="F225" s="6">
        <v>1327</v>
      </c>
      <c r="G225" s="7">
        <f t="shared" si="7"/>
        <v>0.14693171996542786</v>
      </c>
    </row>
    <row r="226" spans="1:7" x14ac:dyDescent="0.25">
      <c r="B226">
        <f>SUBTOTAL(109,B4:B225)</f>
        <v>67726</v>
      </c>
      <c r="C226">
        <f t="shared" ref="C226:G226" si="8">SUBTOTAL(109,C4:C225)</f>
        <v>52128</v>
      </c>
      <c r="D226">
        <f t="shared" si="8"/>
        <v>-47.231158658882762</v>
      </c>
      <c r="E226">
        <f t="shared" si="8"/>
        <v>309830</v>
      </c>
      <c r="F226">
        <f t="shared" si="8"/>
        <v>352892</v>
      </c>
      <c r="G226">
        <f t="shared" si="8"/>
        <v>26.861260236897408</v>
      </c>
    </row>
    <row r="227" spans="1:7" x14ac:dyDescent="0.25">
      <c r="E227">
        <f>B226/E226</f>
        <v>0.21859084013814026</v>
      </c>
      <c r="F227">
        <f>C226/F226</f>
        <v>0.1477165818437369</v>
      </c>
    </row>
  </sheetData>
  <autoFilter ref="A3:G3" xr:uid="{0D821873-6ADD-4456-9EBF-B276E07B0B13}">
    <sortState xmlns:xlrd2="http://schemas.microsoft.com/office/spreadsheetml/2017/richdata2" ref="A4:G225">
      <sortCondition ref="D3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8B42-FC89-471B-ACAC-A11277198F7F}">
  <dimension ref="B2:L225"/>
  <sheetViews>
    <sheetView workbookViewId="0">
      <pane ySplit="2" topLeftCell="A3" activePane="bottomLeft" state="frozen"/>
      <selection pane="bottomLeft" activeCell="M3" sqref="M3"/>
    </sheetView>
  </sheetViews>
  <sheetFormatPr baseColWidth="10" defaultRowHeight="15" x14ac:dyDescent="0.25"/>
  <cols>
    <col min="8" max="8" width="14.85546875" customWidth="1"/>
  </cols>
  <sheetData>
    <row r="2" spans="2:12" ht="75" x14ac:dyDescent="0.25">
      <c r="B2" s="11" t="s">
        <v>3</v>
      </c>
      <c r="C2" s="11" t="s">
        <v>4</v>
      </c>
      <c r="D2" s="11" t="s">
        <v>5</v>
      </c>
      <c r="E2" s="11" t="s">
        <v>1</v>
      </c>
      <c r="F2" s="11" t="s">
        <v>2</v>
      </c>
      <c r="G2" s="15" t="s">
        <v>7</v>
      </c>
      <c r="H2" s="15" t="s">
        <v>8</v>
      </c>
      <c r="I2" s="15" t="s">
        <v>6</v>
      </c>
      <c r="J2" s="15" t="s">
        <v>9</v>
      </c>
      <c r="K2" s="23" t="s">
        <v>10</v>
      </c>
      <c r="L2" s="15" t="s">
        <v>165</v>
      </c>
    </row>
    <row r="3" spans="2:12" x14ac:dyDescent="0.25">
      <c r="B3" s="8">
        <v>1073</v>
      </c>
      <c r="C3" s="9">
        <v>466</v>
      </c>
      <c r="D3" s="9">
        <v>53</v>
      </c>
      <c r="E3" s="9">
        <v>534</v>
      </c>
      <c r="F3" s="9">
        <v>575</v>
      </c>
      <c r="G3" s="10">
        <f t="shared" ref="G3:G66" si="0">(D3/C3)-1</f>
        <v>-0.88626609442060089</v>
      </c>
      <c r="H3" s="13">
        <f t="shared" ref="H3:H66" si="1">F3/$F$225</f>
        <v>1.6293936955215759E-3</v>
      </c>
      <c r="I3" s="10">
        <f t="shared" ref="I3:I66" si="2">(F3/E3-1)</f>
        <v>7.6779026217228541E-2</v>
      </c>
      <c r="J3" s="13">
        <v>0.65049999999999997</v>
      </c>
      <c r="K3" s="20">
        <f t="shared" ref="K3:K66" si="3">(G3*0.6)+(H3*0.15)+(I3*0.1)+(J3*0.15)</f>
        <v>-0.42626234497630944</v>
      </c>
      <c r="L3" s="24">
        <f>K3*-1</f>
        <v>0.42626234497630944</v>
      </c>
    </row>
    <row r="4" spans="2:12" x14ac:dyDescent="0.25">
      <c r="B4" s="8">
        <v>1046</v>
      </c>
      <c r="C4" s="9">
        <v>134</v>
      </c>
      <c r="D4" s="9">
        <v>71</v>
      </c>
      <c r="E4" s="9">
        <v>644</v>
      </c>
      <c r="F4" s="9">
        <v>608</v>
      </c>
      <c r="G4" s="10">
        <f t="shared" si="0"/>
        <v>-0.47014925373134331</v>
      </c>
      <c r="H4" s="13">
        <f t="shared" si="1"/>
        <v>1.7229067250036838E-3</v>
      </c>
      <c r="I4" s="10">
        <f t="shared" si="2"/>
        <v>-5.5900621118012417E-2</v>
      </c>
      <c r="J4" s="13">
        <v>0.47360000000000002</v>
      </c>
      <c r="K4" s="20">
        <f t="shared" si="3"/>
        <v>-0.21638117834185672</v>
      </c>
      <c r="L4" s="24">
        <f t="shared" ref="L4:L67" si="4">K4*-1</f>
        <v>0.21638117834185672</v>
      </c>
    </row>
    <row r="5" spans="2:12" x14ac:dyDescent="0.25">
      <c r="B5" s="8">
        <v>984</v>
      </c>
      <c r="C5" s="9">
        <v>339</v>
      </c>
      <c r="D5" s="9">
        <v>191</v>
      </c>
      <c r="E5" s="9">
        <v>1500</v>
      </c>
      <c r="F5" s="9">
        <v>1707</v>
      </c>
      <c r="G5" s="10">
        <f t="shared" si="0"/>
        <v>-0.43657817109144548</v>
      </c>
      <c r="H5" s="13">
        <f t="shared" si="1"/>
        <v>4.8371739795744877E-3</v>
      </c>
      <c r="I5" s="10">
        <f t="shared" si="2"/>
        <v>0.1379999999999999</v>
      </c>
      <c r="J5" s="13">
        <v>0.37929999999999997</v>
      </c>
      <c r="K5" s="20">
        <f t="shared" si="3"/>
        <v>-0.19052632655793109</v>
      </c>
      <c r="L5" s="24">
        <f t="shared" si="4"/>
        <v>0.19052632655793109</v>
      </c>
    </row>
    <row r="6" spans="2:12" x14ac:dyDescent="0.25">
      <c r="B6" s="8">
        <v>1028</v>
      </c>
      <c r="C6" s="9">
        <v>85</v>
      </c>
      <c r="D6" s="9">
        <v>49</v>
      </c>
      <c r="E6" s="9">
        <v>383</v>
      </c>
      <c r="F6" s="9">
        <v>412</v>
      </c>
      <c r="G6" s="10">
        <f t="shared" si="0"/>
        <v>-0.42352941176470593</v>
      </c>
      <c r="H6" s="13">
        <f t="shared" si="1"/>
        <v>1.1674960044432859E-3</v>
      </c>
      <c r="I6" s="10">
        <f t="shared" si="2"/>
        <v>7.571801566579639E-2</v>
      </c>
      <c r="J6" s="13">
        <v>0.60219999999999996</v>
      </c>
      <c r="K6" s="20">
        <f t="shared" si="3"/>
        <v>-0.15604072109157746</v>
      </c>
      <c r="L6" s="24">
        <f t="shared" si="4"/>
        <v>0.15604072109157746</v>
      </c>
    </row>
    <row r="7" spans="2:12" x14ac:dyDescent="0.25">
      <c r="B7" s="8">
        <v>1231</v>
      </c>
      <c r="C7" s="9">
        <v>207</v>
      </c>
      <c r="D7" s="9">
        <v>129</v>
      </c>
      <c r="E7" s="9">
        <v>1194</v>
      </c>
      <c r="F7" s="9">
        <v>1285</v>
      </c>
      <c r="G7" s="10">
        <f t="shared" si="0"/>
        <v>-0.37681159420289856</v>
      </c>
      <c r="H7" s="13">
        <f t="shared" si="1"/>
        <v>3.6413406934699567E-3</v>
      </c>
      <c r="I7" s="10">
        <f t="shared" si="2"/>
        <v>7.6214405360133908E-2</v>
      </c>
      <c r="J7" s="13">
        <v>0.41659999999999997</v>
      </c>
      <c r="K7" s="20">
        <f t="shared" si="3"/>
        <v>-0.15542931488170528</v>
      </c>
      <c r="L7" s="24">
        <f t="shared" si="4"/>
        <v>0.15542931488170528</v>
      </c>
    </row>
    <row r="8" spans="2:12" x14ac:dyDescent="0.25">
      <c r="B8" s="8">
        <v>1129</v>
      </c>
      <c r="C8" s="9">
        <v>308</v>
      </c>
      <c r="D8" s="9">
        <v>193</v>
      </c>
      <c r="E8" s="9">
        <v>1205</v>
      </c>
      <c r="F8" s="9">
        <v>1202</v>
      </c>
      <c r="G8" s="10">
        <f t="shared" si="0"/>
        <v>-0.37337662337662336</v>
      </c>
      <c r="H8" s="13">
        <f t="shared" si="1"/>
        <v>3.4061412556816249E-3</v>
      </c>
      <c r="I8" s="10">
        <f t="shared" si="2"/>
        <v>-2.4896265560165887E-3</v>
      </c>
      <c r="J8" s="13">
        <v>0.4733</v>
      </c>
      <c r="K8" s="20">
        <f t="shared" si="3"/>
        <v>-0.15276901549322341</v>
      </c>
      <c r="L8" s="24">
        <f t="shared" si="4"/>
        <v>0.15276901549322341</v>
      </c>
    </row>
    <row r="9" spans="2:12" x14ac:dyDescent="0.25">
      <c r="B9" s="8">
        <v>1140</v>
      </c>
      <c r="C9" s="9">
        <v>174</v>
      </c>
      <c r="D9" s="9">
        <v>107</v>
      </c>
      <c r="E9" s="9">
        <v>651</v>
      </c>
      <c r="F9" s="9">
        <v>674</v>
      </c>
      <c r="G9" s="10">
        <f t="shared" si="0"/>
        <v>-0.38505747126436785</v>
      </c>
      <c r="H9" s="13">
        <f t="shared" si="1"/>
        <v>1.9099327839678995E-3</v>
      </c>
      <c r="I9" s="10">
        <f t="shared" si="2"/>
        <v>3.5330261136712782E-2</v>
      </c>
      <c r="J9" s="13">
        <v>0.50159999999999993</v>
      </c>
      <c r="K9" s="20">
        <f t="shared" si="3"/>
        <v>-0.15197496672735422</v>
      </c>
      <c r="L9" s="24">
        <f t="shared" si="4"/>
        <v>0.15197496672735422</v>
      </c>
    </row>
    <row r="10" spans="2:12" x14ac:dyDescent="0.25">
      <c r="B10" s="2">
        <v>1275</v>
      </c>
      <c r="C10" s="3">
        <v>60</v>
      </c>
      <c r="D10" s="3">
        <v>40</v>
      </c>
      <c r="E10" s="3">
        <v>486</v>
      </c>
      <c r="F10" s="3">
        <v>567</v>
      </c>
      <c r="G10" s="4">
        <f t="shared" si="0"/>
        <v>-0.33333333333333337</v>
      </c>
      <c r="H10" s="13">
        <f t="shared" si="1"/>
        <v>1.6067238701925801E-3</v>
      </c>
      <c r="I10" s="4">
        <f t="shared" si="2"/>
        <v>0.16666666666666674</v>
      </c>
      <c r="J10" s="21">
        <v>0.24100000000000002</v>
      </c>
      <c r="K10" s="20">
        <f t="shared" si="3"/>
        <v>-0.14694232475280444</v>
      </c>
      <c r="L10" s="24">
        <f t="shared" si="4"/>
        <v>0.14694232475280444</v>
      </c>
    </row>
    <row r="11" spans="2:12" x14ac:dyDescent="0.25">
      <c r="B11" s="8">
        <v>1030</v>
      </c>
      <c r="C11" s="9">
        <v>222</v>
      </c>
      <c r="D11" s="9">
        <v>135</v>
      </c>
      <c r="E11" s="9">
        <v>881</v>
      </c>
      <c r="F11" s="9">
        <v>934</v>
      </c>
      <c r="G11" s="10">
        <f t="shared" si="0"/>
        <v>-0.39189189189189189</v>
      </c>
      <c r="H11" s="13">
        <f t="shared" si="1"/>
        <v>2.6467021071602645E-3</v>
      </c>
      <c r="I11" s="10">
        <f t="shared" si="2"/>
        <v>6.0158910329171311E-2</v>
      </c>
      <c r="J11" s="13">
        <v>0.54569999999999996</v>
      </c>
      <c r="K11" s="20">
        <f t="shared" si="3"/>
        <v>-0.14686723878614394</v>
      </c>
      <c r="L11" s="24">
        <f t="shared" si="4"/>
        <v>0.14686723878614394</v>
      </c>
    </row>
    <row r="12" spans="2:12" x14ac:dyDescent="0.25">
      <c r="B12" s="8">
        <v>1137</v>
      </c>
      <c r="C12" s="9">
        <v>327</v>
      </c>
      <c r="D12" s="9">
        <v>210</v>
      </c>
      <c r="E12" s="9">
        <v>1265</v>
      </c>
      <c r="F12" s="9">
        <v>1337</v>
      </c>
      <c r="G12" s="10">
        <f t="shared" si="0"/>
        <v>-0.35779816513761464</v>
      </c>
      <c r="H12" s="13">
        <f t="shared" si="1"/>
        <v>3.7886945581084297E-3</v>
      </c>
      <c r="I12" s="10">
        <f t="shared" si="2"/>
        <v>5.6916996047430723E-2</v>
      </c>
      <c r="J12" s="13">
        <v>0.4375</v>
      </c>
      <c r="K12" s="20">
        <f t="shared" si="3"/>
        <v>-0.14279389529410946</v>
      </c>
      <c r="L12" s="24">
        <f t="shared" si="4"/>
        <v>0.14279389529410946</v>
      </c>
    </row>
    <row r="13" spans="2:12" x14ac:dyDescent="0.25">
      <c r="B13" s="8">
        <v>1095</v>
      </c>
      <c r="C13" s="9">
        <v>146</v>
      </c>
      <c r="D13" s="9">
        <v>91</v>
      </c>
      <c r="E13" s="9">
        <v>641</v>
      </c>
      <c r="F13" s="9">
        <v>716</v>
      </c>
      <c r="G13" s="10">
        <f t="shared" si="0"/>
        <v>-0.37671232876712324</v>
      </c>
      <c r="H13" s="13">
        <f t="shared" si="1"/>
        <v>2.0289493669451279E-3</v>
      </c>
      <c r="I13" s="10">
        <f t="shared" si="2"/>
        <v>0.11700468018720755</v>
      </c>
      <c r="J13" s="13">
        <v>0.49109999999999998</v>
      </c>
      <c r="K13" s="20">
        <f t="shared" si="3"/>
        <v>-0.14035758683651139</v>
      </c>
      <c r="L13" s="24">
        <f t="shared" si="4"/>
        <v>0.14035758683651139</v>
      </c>
    </row>
    <row r="14" spans="2:12" x14ac:dyDescent="0.25">
      <c r="B14" s="8">
        <v>1118</v>
      </c>
      <c r="C14" s="9">
        <v>129</v>
      </c>
      <c r="D14" s="9">
        <v>77</v>
      </c>
      <c r="E14" s="9">
        <v>732</v>
      </c>
      <c r="F14" s="9">
        <v>725</v>
      </c>
      <c r="G14" s="10">
        <f t="shared" si="0"/>
        <v>-0.4031007751937985</v>
      </c>
      <c r="H14" s="13">
        <f t="shared" si="1"/>
        <v>2.0544529204402479E-3</v>
      </c>
      <c r="I14" s="10">
        <f t="shared" si="2"/>
        <v>-9.5628415300545999E-3</v>
      </c>
      <c r="J14" s="13">
        <v>0.7036</v>
      </c>
      <c r="K14" s="20">
        <f t="shared" si="3"/>
        <v>-0.13696858133121853</v>
      </c>
      <c r="L14" s="24">
        <f t="shared" si="4"/>
        <v>0.13696858133121853</v>
      </c>
    </row>
    <row r="15" spans="2:12" x14ac:dyDescent="0.25">
      <c r="B15" s="8">
        <v>1196</v>
      </c>
      <c r="C15" s="9">
        <v>670</v>
      </c>
      <c r="D15" s="9">
        <v>430</v>
      </c>
      <c r="E15" s="9">
        <v>2554</v>
      </c>
      <c r="F15" s="9">
        <v>2727</v>
      </c>
      <c r="G15" s="10">
        <f t="shared" si="0"/>
        <v>-0.35820895522388063</v>
      </c>
      <c r="H15" s="13">
        <f t="shared" si="1"/>
        <v>7.7275767090214569E-3</v>
      </c>
      <c r="I15" s="10">
        <f t="shared" si="2"/>
        <v>6.7736883320281827E-2</v>
      </c>
      <c r="J15" s="13">
        <v>0.47060000000000002</v>
      </c>
      <c r="K15" s="20">
        <f t="shared" si="3"/>
        <v>-0.136402548295947</v>
      </c>
      <c r="L15" s="24">
        <f t="shared" si="4"/>
        <v>0.136402548295947</v>
      </c>
    </row>
    <row r="16" spans="2:12" x14ac:dyDescent="0.25">
      <c r="B16" s="2">
        <v>1237</v>
      </c>
      <c r="C16" s="3">
        <v>218</v>
      </c>
      <c r="D16" s="3">
        <v>146</v>
      </c>
      <c r="E16" s="3">
        <v>1226</v>
      </c>
      <c r="F16" s="3">
        <v>1374</v>
      </c>
      <c r="G16" s="4">
        <f t="shared" si="0"/>
        <v>-0.33027522935779818</v>
      </c>
      <c r="H16" s="13">
        <f t="shared" si="1"/>
        <v>3.8935425002550356E-3</v>
      </c>
      <c r="I16" s="4">
        <f t="shared" si="2"/>
        <v>0.12071778140293632</v>
      </c>
      <c r="J16" s="21">
        <v>0.3493</v>
      </c>
      <c r="K16" s="20">
        <f t="shared" si="3"/>
        <v>-0.13311432809934701</v>
      </c>
      <c r="L16" s="24">
        <f t="shared" si="4"/>
        <v>0.13311432809934701</v>
      </c>
    </row>
    <row r="17" spans="2:12" x14ac:dyDescent="0.25">
      <c r="B17" s="8">
        <v>975</v>
      </c>
      <c r="C17" s="9">
        <v>87</v>
      </c>
      <c r="D17" s="9">
        <v>53</v>
      </c>
      <c r="E17" s="9">
        <v>279</v>
      </c>
      <c r="F17" s="9">
        <v>334</v>
      </c>
      <c r="G17" s="10">
        <f t="shared" si="0"/>
        <v>-0.39080459770114939</v>
      </c>
      <c r="H17" s="13">
        <f t="shared" si="1"/>
        <v>9.4646520748557631E-4</v>
      </c>
      <c r="I17" s="10">
        <f t="shared" si="2"/>
        <v>0.19713261648745517</v>
      </c>
      <c r="J17" s="13">
        <v>0.55779999999999996</v>
      </c>
      <c r="K17" s="20">
        <f t="shared" si="3"/>
        <v>-0.13095752719082129</v>
      </c>
      <c r="L17" s="24">
        <f t="shared" si="4"/>
        <v>0.13095752719082129</v>
      </c>
    </row>
    <row r="18" spans="2:12" x14ac:dyDescent="0.25">
      <c r="B18" s="8">
        <v>1078</v>
      </c>
      <c r="C18" s="9">
        <v>251</v>
      </c>
      <c r="D18" s="9">
        <v>163</v>
      </c>
      <c r="E18" s="9">
        <v>1192</v>
      </c>
      <c r="F18" s="9">
        <v>1281</v>
      </c>
      <c r="G18" s="10">
        <f t="shared" si="0"/>
        <v>-0.35059760956175301</v>
      </c>
      <c r="H18" s="13">
        <f t="shared" si="1"/>
        <v>3.6300057808054589E-3</v>
      </c>
      <c r="I18" s="10">
        <f t="shared" si="2"/>
        <v>7.4664429530201248E-2</v>
      </c>
      <c r="J18" s="13">
        <v>0.50869999999999993</v>
      </c>
      <c r="K18" s="20">
        <f t="shared" si="3"/>
        <v>-0.12604262191691087</v>
      </c>
      <c r="L18" s="24">
        <f t="shared" si="4"/>
        <v>0.12604262191691087</v>
      </c>
    </row>
    <row r="19" spans="2:12" x14ac:dyDescent="0.25">
      <c r="B19" s="2">
        <v>977</v>
      </c>
      <c r="C19" s="3">
        <v>166</v>
      </c>
      <c r="D19" s="3">
        <v>109</v>
      </c>
      <c r="E19" s="3">
        <v>575</v>
      </c>
      <c r="F19" s="3">
        <v>592</v>
      </c>
      <c r="G19" s="4">
        <f t="shared" si="0"/>
        <v>-0.34337349397590367</v>
      </c>
      <c r="H19" s="13">
        <f t="shared" si="1"/>
        <v>1.6775670743456922E-3</v>
      </c>
      <c r="I19" s="4">
        <f t="shared" si="2"/>
        <v>2.9565217391304355E-2</v>
      </c>
      <c r="J19" s="21">
        <v>0.5272</v>
      </c>
      <c r="K19" s="20">
        <f t="shared" si="3"/>
        <v>-0.1237359395852599</v>
      </c>
      <c r="L19" s="24">
        <f t="shared" si="4"/>
        <v>0.1237359395852599</v>
      </c>
    </row>
    <row r="20" spans="2:12" x14ac:dyDescent="0.25">
      <c r="B20" s="2">
        <v>983</v>
      </c>
      <c r="C20" s="3">
        <v>352</v>
      </c>
      <c r="D20" s="3">
        <v>240</v>
      </c>
      <c r="E20" s="3">
        <v>1812</v>
      </c>
      <c r="F20" s="3">
        <v>1977</v>
      </c>
      <c r="G20" s="4">
        <f t="shared" si="0"/>
        <v>-0.31818181818181823</v>
      </c>
      <c r="H20" s="13">
        <f t="shared" si="1"/>
        <v>5.6022805844280973E-3</v>
      </c>
      <c r="I20" s="4">
        <f t="shared" si="2"/>
        <v>9.1059602649006699E-2</v>
      </c>
      <c r="J20" s="21">
        <v>0.38659999999999994</v>
      </c>
      <c r="K20" s="20">
        <f t="shared" si="3"/>
        <v>-0.12297278855652607</v>
      </c>
      <c r="L20" s="24">
        <f t="shared" si="4"/>
        <v>0.12297278855652607</v>
      </c>
    </row>
    <row r="21" spans="2:12" x14ac:dyDescent="0.25">
      <c r="B21" s="2">
        <v>980</v>
      </c>
      <c r="C21" s="3">
        <v>451</v>
      </c>
      <c r="D21" s="3">
        <v>312</v>
      </c>
      <c r="E21" s="3">
        <v>2692</v>
      </c>
      <c r="F21" s="3">
        <v>3034</v>
      </c>
      <c r="G21" s="4">
        <f t="shared" si="0"/>
        <v>-0.30820399113082042</v>
      </c>
      <c r="H21" s="13">
        <f t="shared" si="1"/>
        <v>8.5975312560216729E-3</v>
      </c>
      <c r="I21" s="4">
        <f t="shared" si="2"/>
        <v>0.12704309063893016</v>
      </c>
      <c r="J21" s="21">
        <v>0.32880000000000004</v>
      </c>
      <c r="K21" s="20">
        <f t="shared" si="3"/>
        <v>-0.12160845592619599</v>
      </c>
      <c r="L21" s="24">
        <f t="shared" si="4"/>
        <v>0.12160845592619599</v>
      </c>
    </row>
    <row r="22" spans="2:12" x14ac:dyDescent="0.25">
      <c r="B22" s="2">
        <v>976</v>
      </c>
      <c r="C22" s="3">
        <v>143</v>
      </c>
      <c r="D22" s="3">
        <v>94</v>
      </c>
      <c r="E22" s="3">
        <v>532</v>
      </c>
      <c r="F22" s="3">
        <v>563</v>
      </c>
      <c r="G22" s="4">
        <f t="shared" si="0"/>
        <v>-0.34265734265734271</v>
      </c>
      <c r="H22" s="13">
        <f t="shared" si="1"/>
        <v>1.5953889575280823E-3</v>
      </c>
      <c r="I22" s="4">
        <f t="shared" si="2"/>
        <v>5.8270676691729362E-2</v>
      </c>
      <c r="J22" s="21">
        <v>0.52200000000000002</v>
      </c>
      <c r="K22" s="20">
        <f t="shared" si="3"/>
        <v>-0.12122802958160349</v>
      </c>
      <c r="L22" s="24">
        <f t="shared" si="4"/>
        <v>0.12122802958160349</v>
      </c>
    </row>
    <row r="23" spans="2:12" x14ac:dyDescent="0.25">
      <c r="B23" s="2">
        <v>1134</v>
      </c>
      <c r="C23" s="3">
        <v>209</v>
      </c>
      <c r="D23" s="3">
        <v>138</v>
      </c>
      <c r="E23" s="3">
        <v>877</v>
      </c>
      <c r="F23" s="3">
        <v>960</v>
      </c>
      <c r="G23" s="4">
        <f t="shared" si="0"/>
        <v>-0.33971291866028708</v>
      </c>
      <c r="H23" s="13">
        <f t="shared" si="1"/>
        <v>2.7203790394795006E-3</v>
      </c>
      <c r="I23" s="4">
        <f t="shared" si="2"/>
        <v>9.464082098061577E-2</v>
      </c>
      <c r="J23" s="21">
        <v>0.49090000000000006</v>
      </c>
      <c r="K23" s="20">
        <f t="shared" si="3"/>
        <v>-0.12032061224218873</v>
      </c>
      <c r="L23" s="24">
        <f t="shared" si="4"/>
        <v>0.12032061224218873</v>
      </c>
    </row>
    <row r="24" spans="2:12" x14ac:dyDescent="0.25">
      <c r="B24" s="8">
        <v>1067</v>
      </c>
      <c r="C24" s="9">
        <v>195</v>
      </c>
      <c r="D24" s="9">
        <v>127</v>
      </c>
      <c r="E24" s="9">
        <v>641</v>
      </c>
      <c r="F24" s="9">
        <v>675</v>
      </c>
      <c r="G24" s="10">
        <f t="shared" si="0"/>
        <v>-0.3487179487179487</v>
      </c>
      <c r="H24" s="13">
        <f t="shared" si="1"/>
        <v>1.912766512134024E-3</v>
      </c>
      <c r="I24" s="10">
        <f t="shared" si="2"/>
        <v>5.3042121684867327E-2</v>
      </c>
      <c r="J24" s="13">
        <v>0.57320000000000004</v>
      </c>
      <c r="K24" s="20">
        <f t="shared" si="3"/>
        <v>-0.1176596420854624</v>
      </c>
      <c r="L24" s="24">
        <f t="shared" si="4"/>
        <v>0.1176596420854624</v>
      </c>
    </row>
    <row r="25" spans="2:12" x14ac:dyDescent="0.25">
      <c r="B25" s="8">
        <v>1227</v>
      </c>
      <c r="C25" s="9">
        <v>138</v>
      </c>
      <c r="D25" s="9">
        <v>88</v>
      </c>
      <c r="E25" s="9">
        <v>474</v>
      </c>
      <c r="F25" s="9">
        <v>520</v>
      </c>
      <c r="G25" s="10">
        <f t="shared" si="0"/>
        <v>-0.3623188405797102</v>
      </c>
      <c r="H25" s="13">
        <f t="shared" si="1"/>
        <v>1.4735386463847295E-3</v>
      </c>
      <c r="I25" s="10">
        <f t="shared" si="2"/>
        <v>9.704641350210963E-2</v>
      </c>
      <c r="J25" s="13">
        <v>0.61039999999999994</v>
      </c>
      <c r="K25" s="20">
        <f t="shared" si="3"/>
        <v>-0.11590563220065746</v>
      </c>
      <c r="L25" s="24">
        <f t="shared" si="4"/>
        <v>0.11590563220065746</v>
      </c>
    </row>
    <row r="26" spans="2:12" x14ac:dyDescent="0.25">
      <c r="B26" s="8">
        <v>1022</v>
      </c>
      <c r="C26" s="9">
        <v>106</v>
      </c>
      <c r="D26" s="9">
        <v>68</v>
      </c>
      <c r="E26" s="9">
        <v>352</v>
      </c>
      <c r="F26" s="9">
        <v>382</v>
      </c>
      <c r="G26" s="10">
        <f t="shared" si="0"/>
        <v>-0.35849056603773588</v>
      </c>
      <c r="H26" s="13">
        <f t="shared" si="1"/>
        <v>1.0824841594595513E-3</v>
      </c>
      <c r="I26" s="10">
        <f t="shared" si="2"/>
        <v>8.5227272727272707E-2</v>
      </c>
      <c r="J26" s="13">
        <v>0.60530000000000006</v>
      </c>
      <c r="K26" s="20">
        <f t="shared" si="3"/>
        <v>-0.11561423972599531</v>
      </c>
      <c r="L26" s="24">
        <f t="shared" si="4"/>
        <v>0.11561423972599531</v>
      </c>
    </row>
    <row r="27" spans="2:12" x14ac:dyDescent="0.25">
      <c r="B27" s="8">
        <v>1088</v>
      </c>
      <c r="C27" s="9">
        <v>161</v>
      </c>
      <c r="D27" s="9">
        <v>103</v>
      </c>
      <c r="E27" s="9">
        <v>729</v>
      </c>
      <c r="F27" s="9">
        <v>754</v>
      </c>
      <c r="G27" s="10">
        <f t="shared" si="0"/>
        <v>-0.36024844720496896</v>
      </c>
      <c r="H27" s="13">
        <f t="shared" si="1"/>
        <v>2.1366310372578578E-3</v>
      </c>
      <c r="I27" s="10">
        <f t="shared" si="2"/>
        <v>3.429355281207136E-2</v>
      </c>
      <c r="J27" s="13">
        <v>0.65410000000000001</v>
      </c>
      <c r="K27" s="20">
        <f t="shared" si="3"/>
        <v>-0.11428421838618556</v>
      </c>
      <c r="L27" s="24">
        <f t="shared" si="4"/>
        <v>0.11428421838618556</v>
      </c>
    </row>
    <row r="28" spans="2:12" x14ac:dyDescent="0.25">
      <c r="B28" s="8">
        <v>1043</v>
      </c>
      <c r="C28" s="9">
        <v>85</v>
      </c>
      <c r="D28" s="9">
        <v>55</v>
      </c>
      <c r="E28" s="9">
        <v>422</v>
      </c>
      <c r="F28" s="9">
        <v>433</v>
      </c>
      <c r="G28" s="10">
        <f t="shared" si="0"/>
        <v>-0.3529411764705882</v>
      </c>
      <c r="H28" s="13">
        <f t="shared" si="1"/>
        <v>1.2270042959318999E-3</v>
      </c>
      <c r="I28" s="10">
        <f t="shared" si="2"/>
        <v>2.6066350710900466E-2</v>
      </c>
      <c r="J28" s="13">
        <v>0.63359999999999994</v>
      </c>
      <c r="K28" s="20">
        <f t="shared" si="3"/>
        <v>-0.1139340201668731</v>
      </c>
      <c r="L28" s="24">
        <f t="shared" si="4"/>
        <v>0.1139340201668731</v>
      </c>
    </row>
    <row r="29" spans="2:12" x14ac:dyDescent="0.25">
      <c r="B29" s="2">
        <v>1093</v>
      </c>
      <c r="C29" s="3">
        <v>356</v>
      </c>
      <c r="D29" s="3">
        <v>236</v>
      </c>
      <c r="E29" s="3">
        <v>1447</v>
      </c>
      <c r="F29" s="3">
        <v>1555</v>
      </c>
      <c r="G29" s="4">
        <f t="shared" si="0"/>
        <v>-0.3370786516853933</v>
      </c>
      <c r="H29" s="13">
        <f t="shared" si="1"/>
        <v>4.4064472983235663E-3</v>
      </c>
      <c r="I29" s="4">
        <f t="shared" si="2"/>
        <v>7.4637180373186007E-2</v>
      </c>
      <c r="J29" s="21">
        <v>0.55799999999999994</v>
      </c>
      <c r="K29" s="20">
        <f t="shared" si="3"/>
        <v>-0.11042250587916887</v>
      </c>
      <c r="L29" s="24">
        <f t="shared" si="4"/>
        <v>0.11042250587916887</v>
      </c>
    </row>
    <row r="30" spans="2:12" x14ac:dyDescent="0.25">
      <c r="B30" s="2">
        <v>1026</v>
      </c>
      <c r="C30" s="3">
        <v>119</v>
      </c>
      <c r="D30" s="3">
        <v>80</v>
      </c>
      <c r="E30" s="3">
        <v>561</v>
      </c>
      <c r="F30" s="3">
        <v>583</v>
      </c>
      <c r="G30" s="4">
        <f t="shared" si="0"/>
        <v>-0.32773109243697474</v>
      </c>
      <c r="H30" s="13">
        <f t="shared" si="1"/>
        <v>1.6520635208505719E-3</v>
      </c>
      <c r="I30" s="4">
        <f t="shared" si="2"/>
        <v>3.9215686274509887E-2</v>
      </c>
      <c r="J30" s="21">
        <v>0.55430000000000001</v>
      </c>
      <c r="K30" s="20">
        <f t="shared" si="3"/>
        <v>-0.10932427730660627</v>
      </c>
      <c r="L30" s="24">
        <f t="shared" si="4"/>
        <v>0.10932427730660627</v>
      </c>
    </row>
    <row r="31" spans="2:12" x14ac:dyDescent="0.25">
      <c r="B31" s="2">
        <v>1036</v>
      </c>
      <c r="C31" s="3">
        <v>988</v>
      </c>
      <c r="D31" s="3">
        <v>698</v>
      </c>
      <c r="E31" s="3">
        <v>5263</v>
      </c>
      <c r="F31" s="3">
        <v>6069</v>
      </c>
      <c r="G31" s="4">
        <f t="shared" si="0"/>
        <v>-0.29352226720647778</v>
      </c>
      <c r="H31" s="13">
        <f t="shared" si="1"/>
        <v>1.7197896240209468E-2</v>
      </c>
      <c r="I31" s="4">
        <f t="shared" si="2"/>
        <v>0.15314459433783023</v>
      </c>
      <c r="J31" s="21">
        <v>0.3347</v>
      </c>
      <c r="K31" s="20">
        <f t="shared" si="3"/>
        <v>-0.10801421645407222</v>
      </c>
      <c r="L31" s="24">
        <f t="shared" si="4"/>
        <v>0.10801421645407222</v>
      </c>
    </row>
    <row r="32" spans="2:12" x14ac:dyDescent="0.25">
      <c r="B32" s="2">
        <v>1109</v>
      </c>
      <c r="C32" s="3">
        <v>231</v>
      </c>
      <c r="D32" s="3">
        <v>158</v>
      </c>
      <c r="E32" s="3">
        <v>936</v>
      </c>
      <c r="F32" s="3">
        <v>1011</v>
      </c>
      <c r="G32" s="4">
        <f t="shared" si="0"/>
        <v>-0.31601731601731597</v>
      </c>
      <c r="H32" s="13">
        <f t="shared" si="1"/>
        <v>2.8648991759518492E-3</v>
      </c>
      <c r="I32" s="4">
        <f t="shared" si="2"/>
        <v>8.0128205128205066E-2</v>
      </c>
      <c r="J32" s="21">
        <v>0.49090000000000006</v>
      </c>
      <c r="K32" s="20">
        <f t="shared" si="3"/>
        <v>-0.10753283422117629</v>
      </c>
      <c r="L32" s="24">
        <f t="shared" si="4"/>
        <v>0.10753283422117629</v>
      </c>
    </row>
    <row r="33" spans="2:12" x14ac:dyDescent="0.25">
      <c r="B33" s="2">
        <v>1027</v>
      </c>
      <c r="C33" s="3">
        <v>64</v>
      </c>
      <c r="D33" s="3">
        <v>42</v>
      </c>
      <c r="E33" s="3">
        <v>334</v>
      </c>
      <c r="F33" s="3">
        <v>361</v>
      </c>
      <c r="G33" s="4">
        <f t="shared" si="0"/>
        <v>-0.34375</v>
      </c>
      <c r="H33" s="13">
        <f t="shared" si="1"/>
        <v>1.0229758679709373E-3</v>
      </c>
      <c r="I33" s="4">
        <f t="shared" si="2"/>
        <v>8.083832335329344E-2</v>
      </c>
      <c r="J33" s="21">
        <v>0.60750000000000004</v>
      </c>
      <c r="K33" s="20">
        <f t="shared" si="3"/>
        <v>-0.106887721284475</v>
      </c>
      <c r="L33" s="24">
        <f t="shared" si="4"/>
        <v>0.106887721284475</v>
      </c>
    </row>
    <row r="34" spans="2:12" x14ac:dyDescent="0.25">
      <c r="B34" s="2">
        <v>1039</v>
      </c>
      <c r="C34" s="3">
        <v>299</v>
      </c>
      <c r="D34" s="3">
        <v>205</v>
      </c>
      <c r="E34" s="3">
        <v>1290</v>
      </c>
      <c r="F34" s="3">
        <v>1365</v>
      </c>
      <c r="G34" s="4">
        <f t="shared" si="0"/>
        <v>-0.31438127090301005</v>
      </c>
      <c r="H34" s="13">
        <f t="shared" si="1"/>
        <v>3.8680389467599151E-3</v>
      </c>
      <c r="I34" s="4">
        <f t="shared" si="2"/>
        <v>5.8139534883721034E-2</v>
      </c>
      <c r="J34" s="21">
        <v>0.50509999999999999</v>
      </c>
      <c r="K34" s="20">
        <f t="shared" si="3"/>
        <v>-0.10646960321141993</v>
      </c>
      <c r="L34" s="24">
        <f t="shared" si="4"/>
        <v>0.10646960321141993</v>
      </c>
    </row>
    <row r="35" spans="2:12" x14ac:dyDescent="0.25">
      <c r="B35" s="2">
        <v>1235</v>
      </c>
      <c r="C35" s="3">
        <v>288</v>
      </c>
      <c r="D35" s="3">
        <v>206</v>
      </c>
      <c r="E35" s="3">
        <v>1476</v>
      </c>
      <c r="F35" s="3">
        <v>1557</v>
      </c>
      <c r="G35" s="4">
        <f t="shared" si="0"/>
        <v>-0.28472222222222221</v>
      </c>
      <c r="H35" s="13">
        <f t="shared" si="1"/>
        <v>4.4121147546558152E-3</v>
      </c>
      <c r="I35" s="4">
        <f t="shared" si="2"/>
        <v>5.4878048780487854E-2</v>
      </c>
      <c r="J35" s="21">
        <v>0.40759999999999996</v>
      </c>
      <c r="K35" s="20">
        <f t="shared" si="3"/>
        <v>-0.10354371124208614</v>
      </c>
      <c r="L35" s="25">
        <f t="shared" si="4"/>
        <v>0.10354371124208614</v>
      </c>
    </row>
    <row r="36" spans="2:12" x14ac:dyDescent="0.25">
      <c r="B36" s="2">
        <v>1066</v>
      </c>
      <c r="C36" s="3">
        <v>226</v>
      </c>
      <c r="D36" s="3">
        <v>155</v>
      </c>
      <c r="E36" s="3">
        <v>929</v>
      </c>
      <c r="F36" s="3">
        <v>1030</v>
      </c>
      <c r="G36" s="4">
        <f t="shared" si="0"/>
        <v>-0.31415929203539827</v>
      </c>
      <c r="H36" s="13">
        <f t="shared" si="1"/>
        <v>2.9187400111082146E-3</v>
      </c>
      <c r="I36" s="4">
        <f t="shared" si="2"/>
        <v>0.10871905274488691</v>
      </c>
      <c r="J36" s="21">
        <v>0.49790000000000001</v>
      </c>
      <c r="K36" s="20">
        <f t="shared" si="3"/>
        <v>-0.10250085894508404</v>
      </c>
      <c r="L36" s="25">
        <f t="shared" si="4"/>
        <v>0.10250085894508404</v>
      </c>
    </row>
    <row r="37" spans="2:12" x14ac:dyDescent="0.25">
      <c r="B37" s="2">
        <v>1083</v>
      </c>
      <c r="C37" s="3">
        <v>114</v>
      </c>
      <c r="D37" s="3">
        <v>81</v>
      </c>
      <c r="E37" s="3">
        <v>660</v>
      </c>
      <c r="F37" s="3">
        <v>668</v>
      </c>
      <c r="G37" s="4">
        <f t="shared" si="0"/>
        <v>-0.28947368421052633</v>
      </c>
      <c r="H37" s="13">
        <f t="shared" si="1"/>
        <v>1.8929304149711526E-3</v>
      </c>
      <c r="I37" s="4">
        <f t="shared" si="2"/>
        <v>1.2121212121212199E-2</v>
      </c>
      <c r="J37" s="21">
        <v>0.4793</v>
      </c>
      <c r="K37" s="20">
        <f t="shared" si="3"/>
        <v>-0.1002931497519489</v>
      </c>
      <c r="L37" s="25">
        <f t="shared" si="4"/>
        <v>0.1002931497519489</v>
      </c>
    </row>
    <row r="38" spans="2:12" x14ac:dyDescent="0.25">
      <c r="B38" s="2">
        <v>1077</v>
      </c>
      <c r="C38" s="3">
        <v>296</v>
      </c>
      <c r="D38" s="3">
        <v>204</v>
      </c>
      <c r="E38" s="3">
        <v>1408</v>
      </c>
      <c r="F38" s="3">
        <v>1436</v>
      </c>
      <c r="G38" s="4">
        <f t="shared" si="0"/>
        <v>-0.31081081081081086</v>
      </c>
      <c r="H38" s="13">
        <f t="shared" si="1"/>
        <v>4.0692336465547535E-3</v>
      </c>
      <c r="I38" s="4">
        <f t="shared" si="2"/>
        <v>1.9886363636363535E-2</v>
      </c>
      <c r="J38" s="21">
        <v>0.57299999999999995</v>
      </c>
      <c r="K38" s="20">
        <f t="shared" si="3"/>
        <v>-9.7937465075866939E-2</v>
      </c>
      <c r="L38" s="25">
        <f t="shared" si="4"/>
        <v>9.7937465075866939E-2</v>
      </c>
    </row>
    <row r="39" spans="2:12" x14ac:dyDescent="0.25">
      <c r="B39" s="2">
        <v>1121</v>
      </c>
      <c r="C39" s="3">
        <v>255</v>
      </c>
      <c r="D39" s="3">
        <v>173</v>
      </c>
      <c r="E39" s="3">
        <v>1091</v>
      </c>
      <c r="F39" s="3">
        <v>1137</v>
      </c>
      <c r="G39" s="4">
        <f t="shared" si="0"/>
        <v>-0.32156862745098036</v>
      </c>
      <c r="H39" s="13">
        <f t="shared" si="1"/>
        <v>3.2219489248835336E-3</v>
      </c>
      <c r="I39" s="4">
        <f t="shared" si="2"/>
        <v>4.2163153070577497E-2</v>
      </c>
      <c r="J39" s="21">
        <v>0.60360000000000003</v>
      </c>
      <c r="K39" s="20">
        <f t="shared" si="3"/>
        <v>-9.7701568824797927E-2</v>
      </c>
      <c r="L39" s="25">
        <f t="shared" si="4"/>
        <v>9.7701568824797927E-2</v>
      </c>
    </row>
    <row r="40" spans="2:12" x14ac:dyDescent="0.25">
      <c r="B40" s="2">
        <v>1049</v>
      </c>
      <c r="C40" s="3">
        <v>191</v>
      </c>
      <c r="D40" s="3">
        <v>132</v>
      </c>
      <c r="E40" s="3">
        <v>724</v>
      </c>
      <c r="F40" s="3">
        <v>747</v>
      </c>
      <c r="G40" s="4">
        <f t="shared" si="0"/>
        <v>-0.30890052356020947</v>
      </c>
      <c r="H40" s="13">
        <f t="shared" si="1"/>
        <v>2.1167949400949866E-3</v>
      </c>
      <c r="I40" s="4">
        <f t="shared" si="2"/>
        <v>3.176795580110503E-2</v>
      </c>
      <c r="J40" s="21">
        <v>0.56859999999999999</v>
      </c>
      <c r="K40" s="20">
        <f t="shared" si="3"/>
        <v>-9.6555999315000932E-2</v>
      </c>
      <c r="L40" s="25">
        <f t="shared" si="4"/>
        <v>9.6555999315000932E-2</v>
      </c>
    </row>
    <row r="41" spans="2:12" x14ac:dyDescent="0.25">
      <c r="B41" s="8">
        <v>1113</v>
      </c>
      <c r="C41" s="9">
        <v>151</v>
      </c>
      <c r="D41" s="9">
        <v>98</v>
      </c>
      <c r="E41" s="9">
        <v>771</v>
      </c>
      <c r="F41" s="9">
        <v>855</v>
      </c>
      <c r="G41" s="10">
        <f t="shared" si="0"/>
        <v>-0.35099337748344372</v>
      </c>
      <c r="H41" s="13">
        <f t="shared" si="1"/>
        <v>2.4228375820364305E-3</v>
      </c>
      <c r="I41" s="10">
        <f t="shared" si="2"/>
        <v>0.10894941634241251</v>
      </c>
      <c r="J41" s="13">
        <v>0.68769999999999998</v>
      </c>
      <c r="K41" s="20">
        <f t="shared" si="3"/>
        <v>-9.6182659218519512E-2</v>
      </c>
      <c r="L41" s="25">
        <f t="shared" si="4"/>
        <v>9.6182659218519512E-2</v>
      </c>
    </row>
    <row r="42" spans="2:12" x14ac:dyDescent="0.25">
      <c r="B42" s="2">
        <v>1112</v>
      </c>
      <c r="C42" s="3">
        <v>212</v>
      </c>
      <c r="D42" s="3">
        <v>140</v>
      </c>
      <c r="E42" s="3">
        <v>981</v>
      </c>
      <c r="F42" s="3">
        <v>1069</v>
      </c>
      <c r="G42" s="4">
        <f t="shared" si="0"/>
        <v>-0.339622641509434</v>
      </c>
      <c r="H42" s="13">
        <f t="shared" si="1"/>
        <v>3.0292554095870689E-3</v>
      </c>
      <c r="I42" s="4">
        <f t="shared" si="2"/>
        <v>8.9704383282364963E-2</v>
      </c>
      <c r="J42" s="21">
        <v>0.6603</v>
      </c>
      <c r="K42" s="20">
        <f t="shared" si="3"/>
        <v>-9.5303758265985833E-2</v>
      </c>
      <c r="L42" s="25">
        <f t="shared" si="4"/>
        <v>9.5303758265985833E-2</v>
      </c>
    </row>
    <row r="43" spans="2:12" x14ac:dyDescent="0.25">
      <c r="B43" s="2">
        <v>1032</v>
      </c>
      <c r="C43" s="3">
        <v>228</v>
      </c>
      <c r="D43" s="3">
        <v>163</v>
      </c>
      <c r="E43" s="3">
        <v>1012</v>
      </c>
      <c r="F43" s="3">
        <v>1063</v>
      </c>
      <c r="G43" s="4">
        <f t="shared" si="0"/>
        <v>-0.28508771929824561</v>
      </c>
      <c r="H43" s="13">
        <f t="shared" si="1"/>
        <v>3.0122530405903222E-3</v>
      </c>
      <c r="I43" s="4">
        <f t="shared" si="2"/>
        <v>5.039525691699609E-2</v>
      </c>
      <c r="J43" s="21">
        <v>0.47200000000000003</v>
      </c>
      <c r="K43" s="20">
        <f t="shared" si="3"/>
        <v>-9.4761267931159215E-2</v>
      </c>
      <c r="L43" s="25">
        <f t="shared" si="4"/>
        <v>9.4761267931159215E-2</v>
      </c>
    </row>
    <row r="44" spans="2:12" x14ac:dyDescent="0.25">
      <c r="B44" s="2">
        <v>1051</v>
      </c>
      <c r="C44" s="3">
        <v>277</v>
      </c>
      <c r="D44" s="3">
        <v>199</v>
      </c>
      <c r="E44" s="3">
        <v>1078</v>
      </c>
      <c r="F44" s="3">
        <v>1148</v>
      </c>
      <c r="G44" s="4">
        <f t="shared" si="0"/>
        <v>-0.28158844765342961</v>
      </c>
      <c r="H44" s="13">
        <f t="shared" si="1"/>
        <v>3.2531199347109029E-3</v>
      </c>
      <c r="I44" s="4">
        <f t="shared" si="2"/>
        <v>6.4935064935064846E-2</v>
      </c>
      <c r="J44" s="21">
        <v>0.45880000000000004</v>
      </c>
      <c r="K44" s="20">
        <f t="shared" si="3"/>
        <v>-9.3151594108344601E-2</v>
      </c>
      <c r="L44" s="25">
        <f t="shared" si="4"/>
        <v>9.3151594108344601E-2</v>
      </c>
    </row>
    <row r="45" spans="2:12" x14ac:dyDescent="0.25">
      <c r="B45" s="2">
        <v>987</v>
      </c>
      <c r="C45" s="3">
        <v>154</v>
      </c>
      <c r="D45" s="3">
        <v>110</v>
      </c>
      <c r="E45" s="3">
        <v>600</v>
      </c>
      <c r="F45" s="3">
        <v>646</v>
      </c>
      <c r="G45" s="4">
        <f t="shared" si="0"/>
        <v>-0.2857142857142857</v>
      </c>
      <c r="H45" s="13">
        <f t="shared" si="1"/>
        <v>1.8305883953164141E-3</v>
      </c>
      <c r="I45" s="4">
        <f t="shared" si="2"/>
        <v>7.6666666666666661E-2</v>
      </c>
      <c r="J45" s="21">
        <v>0.47689999999999999</v>
      </c>
      <c r="K45" s="20">
        <f t="shared" si="3"/>
        <v>-9.1952316502607281E-2</v>
      </c>
      <c r="L45" s="25">
        <f t="shared" si="4"/>
        <v>9.1952316502607281E-2</v>
      </c>
    </row>
    <row r="46" spans="2:12" x14ac:dyDescent="0.25">
      <c r="B46" s="2">
        <v>1038</v>
      </c>
      <c r="C46" s="3">
        <v>384</v>
      </c>
      <c r="D46" s="3">
        <v>279</v>
      </c>
      <c r="E46" s="3">
        <v>1509</v>
      </c>
      <c r="F46" s="3">
        <v>1578</v>
      </c>
      <c r="G46" s="4">
        <f t="shared" si="0"/>
        <v>-0.2734375</v>
      </c>
      <c r="H46" s="13">
        <f t="shared" si="1"/>
        <v>4.4716230461444295E-3</v>
      </c>
      <c r="I46" s="4">
        <f t="shared" si="2"/>
        <v>4.5725646123260466E-2</v>
      </c>
      <c r="J46" s="21">
        <v>0.4506</v>
      </c>
      <c r="K46" s="20">
        <f t="shared" si="3"/>
        <v>-9.1229191930752282E-2</v>
      </c>
      <c r="L46" s="25">
        <f t="shared" si="4"/>
        <v>9.1229191930752282E-2</v>
      </c>
    </row>
    <row r="47" spans="2:12" x14ac:dyDescent="0.25">
      <c r="B47" s="2">
        <v>1037</v>
      </c>
      <c r="C47" s="3">
        <v>419</v>
      </c>
      <c r="D47" s="3">
        <v>303</v>
      </c>
      <c r="E47" s="3">
        <v>2050</v>
      </c>
      <c r="F47" s="3">
        <v>2180</v>
      </c>
      <c r="G47" s="4">
        <f t="shared" si="0"/>
        <v>-0.27684964200477324</v>
      </c>
      <c r="H47" s="13">
        <f t="shared" si="1"/>
        <v>6.1775274021513664E-3</v>
      </c>
      <c r="I47" s="4">
        <f t="shared" si="2"/>
        <v>6.341463414634152E-2</v>
      </c>
      <c r="J47" s="21">
        <v>0.4617</v>
      </c>
      <c r="K47" s="20">
        <f t="shared" si="3"/>
        <v>-8.9586692677907073E-2</v>
      </c>
      <c r="L47" s="25">
        <f t="shared" si="4"/>
        <v>8.9586692677907073E-2</v>
      </c>
    </row>
    <row r="48" spans="2:12" x14ac:dyDescent="0.25">
      <c r="B48" s="2">
        <v>1127</v>
      </c>
      <c r="C48" s="3">
        <v>182</v>
      </c>
      <c r="D48" s="3">
        <v>127</v>
      </c>
      <c r="E48" s="3">
        <v>811</v>
      </c>
      <c r="F48" s="3">
        <v>899</v>
      </c>
      <c r="G48" s="4">
        <f t="shared" si="0"/>
        <v>-0.30219780219780223</v>
      </c>
      <c r="H48" s="13">
        <f t="shared" si="1"/>
        <v>2.5475216213459075E-3</v>
      </c>
      <c r="I48" s="4">
        <f t="shared" si="2"/>
        <v>0.10850801479654737</v>
      </c>
      <c r="J48" s="21">
        <v>0.53969999999999996</v>
      </c>
      <c r="K48" s="20">
        <f t="shared" si="3"/>
        <v>-8.9130751595824745E-2</v>
      </c>
      <c r="L48" s="25">
        <f t="shared" si="4"/>
        <v>8.9130751595824745E-2</v>
      </c>
    </row>
    <row r="49" spans="2:12" x14ac:dyDescent="0.25">
      <c r="B49" s="2">
        <v>1090</v>
      </c>
      <c r="C49" s="3">
        <v>155</v>
      </c>
      <c r="D49" s="3">
        <v>106</v>
      </c>
      <c r="E49" s="3">
        <v>554</v>
      </c>
      <c r="F49" s="3">
        <v>576</v>
      </c>
      <c r="G49" s="4">
        <f t="shared" si="0"/>
        <v>-0.31612903225806455</v>
      </c>
      <c r="H49" s="13">
        <f t="shared" si="1"/>
        <v>1.6322274236877006E-3</v>
      </c>
      <c r="I49" s="4">
        <f t="shared" si="2"/>
        <v>3.971119133573997E-2</v>
      </c>
      <c r="J49" s="21">
        <v>0.64549999999999996</v>
      </c>
      <c r="K49" s="20">
        <f t="shared" si="3"/>
        <v>-8.8636466107711559E-2</v>
      </c>
      <c r="L49" s="25">
        <f t="shared" si="4"/>
        <v>8.8636466107711559E-2</v>
      </c>
    </row>
    <row r="50" spans="2:12" x14ac:dyDescent="0.25">
      <c r="B50" s="2">
        <v>1085</v>
      </c>
      <c r="C50" s="3">
        <v>357</v>
      </c>
      <c r="D50" s="3">
        <v>249</v>
      </c>
      <c r="E50" s="3">
        <v>1269</v>
      </c>
      <c r="F50" s="3">
        <v>1363</v>
      </c>
      <c r="G50" s="4">
        <f t="shared" si="0"/>
        <v>-0.30252100840336138</v>
      </c>
      <c r="H50" s="13">
        <f t="shared" si="1"/>
        <v>3.8623714904276662E-3</v>
      </c>
      <c r="I50" s="4">
        <f t="shared" si="2"/>
        <v>7.4074074074074181E-2</v>
      </c>
      <c r="J50" s="21">
        <v>0.57210000000000005</v>
      </c>
      <c r="K50" s="20">
        <f t="shared" si="3"/>
        <v>-8.7710841911045251E-2</v>
      </c>
      <c r="L50" s="25">
        <f t="shared" si="4"/>
        <v>8.7710841911045251E-2</v>
      </c>
    </row>
    <row r="51" spans="2:12" x14ac:dyDescent="0.25">
      <c r="B51" s="2">
        <v>1080</v>
      </c>
      <c r="C51" s="3">
        <v>74</v>
      </c>
      <c r="D51" s="3">
        <v>49</v>
      </c>
      <c r="E51" s="3">
        <v>504</v>
      </c>
      <c r="F51" s="3">
        <v>534</v>
      </c>
      <c r="G51" s="4">
        <f t="shared" si="0"/>
        <v>-0.33783783783783783</v>
      </c>
      <c r="H51" s="13">
        <f t="shared" si="1"/>
        <v>1.5132108407104722E-3</v>
      </c>
      <c r="I51" s="4">
        <f t="shared" si="2"/>
        <v>5.9523809523809534E-2</v>
      </c>
      <c r="J51" s="21">
        <v>0.72670000000000001</v>
      </c>
      <c r="K51" s="20">
        <f t="shared" si="3"/>
        <v>-8.7518340124215152E-2</v>
      </c>
      <c r="L51" s="25">
        <f t="shared" si="4"/>
        <v>8.7518340124215152E-2</v>
      </c>
    </row>
    <row r="52" spans="2:12" x14ac:dyDescent="0.25">
      <c r="B52" s="2">
        <v>1069</v>
      </c>
      <c r="C52" s="3">
        <v>122</v>
      </c>
      <c r="D52" s="3">
        <v>85</v>
      </c>
      <c r="E52" s="3">
        <v>487</v>
      </c>
      <c r="F52" s="3">
        <v>498</v>
      </c>
      <c r="G52" s="4">
        <f t="shared" si="0"/>
        <v>-0.30327868852459017</v>
      </c>
      <c r="H52" s="13">
        <f t="shared" si="1"/>
        <v>1.411196626729991E-3</v>
      </c>
      <c r="I52" s="4">
        <f t="shared" si="2"/>
        <v>2.2587268993839782E-2</v>
      </c>
      <c r="J52" s="21">
        <v>0.62880000000000003</v>
      </c>
      <c r="K52" s="20">
        <f t="shared" si="3"/>
        <v>-8.5176806721360618E-2</v>
      </c>
      <c r="L52" s="25">
        <f t="shared" si="4"/>
        <v>8.5176806721360618E-2</v>
      </c>
    </row>
    <row r="53" spans="2:12" x14ac:dyDescent="0.25">
      <c r="B53" s="2">
        <v>1262</v>
      </c>
      <c r="C53" s="3">
        <v>775</v>
      </c>
      <c r="D53" s="3">
        <v>580</v>
      </c>
      <c r="E53" s="3">
        <v>5156</v>
      </c>
      <c r="F53" s="3">
        <v>6144</v>
      </c>
      <c r="G53" s="4">
        <f t="shared" si="0"/>
        <v>-0.25161290322580643</v>
      </c>
      <c r="H53" s="13">
        <f t="shared" si="1"/>
        <v>1.7410425852668804E-2</v>
      </c>
      <c r="I53" s="4">
        <f t="shared" si="2"/>
        <v>0.19162141194724591</v>
      </c>
      <c r="J53" s="21">
        <v>0.29749999999999999</v>
      </c>
      <c r="K53" s="20">
        <f t="shared" si="3"/>
        <v>-8.4569036862858937E-2</v>
      </c>
      <c r="L53" s="25">
        <f t="shared" si="4"/>
        <v>8.4569036862858937E-2</v>
      </c>
    </row>
    <row r="54" spans="2:12" x14ac:dyDescent="0.25">
      <c r="B54" s="2">
        <v>989</v>
      </c>
      <c r="C54" s="3">
        <v>311</v>
      </c>
      <c r="D54" s="3">
        <v>226</v>
      </c>
      <c r="E54" s="3">
        <v>1279</v>
      </c>
      <c r="F54" s="3">
        <v>1396</v>
      </c>
      <c r="G54" s="4">
        <f t="shared" si="0"/>
        <v>-0.27331189710610937</v>
      </c>
      <c r="H54" s="13">
        <f t="shared" si="1"/>
        <v>3.9558845199097739E-3</v>
      </c>
      <c r="I54" s="4">
        <f t="shared" si="2"/>
        <v>9.1477716966380074E-2</v>
      </c>
      <c r="J54" s="21">
        <v>0.47110000000000002</v>
      </c>
      <c r="K54" s="20">
        <f t="shared" si="3"/>
        <v>-8.3580983889041144E-2</v>
      </c>
      <c r="L54" s="25">
        <f t="shared" si="4"/>
        <v>8.3580983889041144E-2</v>
      </c>
    </row>
    <row r="55" spans="2:12" x14ac:dyDescent="0.25">
      <c r="B55" s="2">
        <v>978</v>
      </c>
      <c r="C55" s="3">
        <v>741</v>
      </c>
      <c r="D55" s="3">
        <v>529</v>
      </c>
      <c r="E55" s="3">
        <v>2961</v>
      </c>
      <c r="F55" s="3">
        <v>3274</v>
      </c>
      <c r="G55" s="4">
        <f t="shared" si="0"/>
        <v>-0.2860998650472335</v>
      </c>
      <c r="H55" s="13">
        <f t="shared" si="1"/>
        <v>9.2776260158915474E-3</v>
      </c>
      <c r="I55" s="4">
        <f t="shared" si="2"/>
        <v>0.10570753123944621</v>
      </c>
      <c r="J55" s="21">
        <v>0.5101</v>
      </c>
      <c r="K55" s="20">
        <f t="shared" si="3"/>
        <v>-8.3182522002011761E-2</v>
      </c>
      <c r="L55" s="25">
        <f t="shared" si="4"/>
        <v>8.3182522002011761E-2</v>
      </c>
    </row>
    <row r="56" spans="2:12" x14ac:dyDescent="0.25">
      <c r="B56" s="2">
        <v>1128</v>
      </c>
      <c r="C56" s="3">
        <v>339</v>
      </c>
      <c r="D56" s="3">
        <v>246</v>
      </c>
      <c r="E56" s="3">
        <v>1333</v>
      </c>
      <c r="F56" s="3">
        <v>1406</v>
      </c>
      <c r="G56" s="4">
        <f t="shared" si="0"/>
        <v>-0.27433628318584069</v>
      </c>
      <c r="H56" s="13">
        <f t="shared" si="1"/>
        <v>3.9842218015710192E-3</v>
      </c>
      <c r="I56" s="4">
        <f t="shared" si="2"/>
        <v>5.4763690922730701E-2</v>
      </c>
      <c r="J56" s="21">
        <v>0.50450000000000006</v>
      </c>
      <c r="K56" s="20">
        <f t="shared" si="3"/>
        <v>-8.285276754899569E-2</v>
      </c>
      <c r="L56" s="25">
        <f t="shared" si="4"/>
        <v>8.285276754899569E-2</v>
      </c>
    </row>
    <row r="57" spans="2:12" x14ac:dyDescent="0.25">
      <c r="B57" s="2">
        <v>1033</v>
      </c>
      <c r="C57" s="3">
        <v>378</v>
      </c>
      <c r="D57" s="3">
        <v>277</v>
      </c>
      <c r="E57" s="3">
        <v>1575</v>
      </c>
      <c r="F57" s="3">
        <v>1709</v>
      </c>
      <c r="G57" s="4">
        <f t="shared" si="0"/>
        <v>-0.26719576719576721</v>
      </c>
      <c r="H57" s="13">
        <f t="shared" si="1"/>
        <v>4.8428414359067366E-3</v>
      </c>
      <c r="I57" s="4">
        <f t="shared" si="2"/>
        <v>8.5079365079365088E-2</v>
      </c>
      <c r="J57" s="21">
        <v>0.48020000000000002</v>
      </c>
      <c r="K57" s="20">
        <f t="shared" si="3"/>
        <v>-7.9053097594137797E-2</v>
      </c>
      <c r="L57" s="25">
        <f t="shared" si="4"/>
        <v>7.9053097594137797E-2</v>
      </c>
    </row>
    <row r="58" spans="2:12" x14ac:dyDescent="0.25">
      <c r="B58" s="2">
        <v>973</v>
      </c>
      <c r="C58" s="3">
        <v>190</v>
      </c>
      <c r="D58" s="3">
        <v>139</v>
      </c>
      <c r="E58" s="3">
        <v>870</v>
      </c>
      <c r="F58" s="3">
        <v>986</v>
      </c>
      <c r="G58" s="4">
        <f t="shared" si="0"/>
        <v>-0.26842105263157889</v>
      </c>
      <c r="H58" s="13">
        <f t="shared" si="1"/>
        <v>2.7940559717987371E-3</v>
      </c>
      <c r="I58" s="4">
        <f t="shared" si="2"/>
        <v>0.1333333333333333</v>
      </c>
      <c r="J58" s="21">
        <v>0.45700000000000002</v>
      </c>
      <c r="K58" s="20">
        <f t="shared" si="3"/>
        <v>-7.8750189849844193E-2</v>
      </c>
      <c r="L58" s="25">
        <f t="shared" si="4"/>
        <v>7.8750189849844193E-2</v>
      </c>
    </row>
    <row r="59" spans="2:12" x14ac:dyDescent="0.25">
      <c r="B59" s="2">
        <v>1126</v>
      </c>
      <c r="C59" s="3">
        <v>258</v>
      </c>
      <c r="D59" s="3">
        <v>187</v>
      </c>
      <c r="E59" s="3">
        <v>1171</v>
      </c>
      <c r="F59" s="3">
        <v>1237</v>
      </c>
      <c r="G59" s="4">
        <f t="shared" si="0"/>
        <v>-0.27519379844961245</v>
      </c>
      <c r="H59" s="13">
        <f t="shared" si="1"/>
        <v>3.5053217414959818E-3</v>
      </c>
      <c r="I59" s="4">
        <f t="shared" si="2"/>
        <v>5.6362083689154518E-2</v>
      </c>
      <c r="J59" s="21">
        <v>0.53759999999999997</v>
      </c>
      <c r="K59" s="20">
        <f t="shared" si="3"/>
        <v>-7.831427243962763E-2</v>
      </c>
      <c r="L59" s="25">
        <f t="shared" si="4"/>
        <v>7.831427243962763E-2</v>
      </c>
    </row>
    <row r="60" spans="2:12" x14ac:dyDescent="0.25">
      <c r="B60" s="2">
        <v>1120</v>
      </c>
      <c r="C60" s="3">
        <v>166</v>
      </c>
      <c r="D60" s="3">
        <v>118</v>
      </c>
      <c r="E60" s="3">
        <v>944</v>
      </c>
      <c r="F60" s="3">
        <v>1006</v>
      </c>
      <c r="G60" s="4">
        <f t="shared" si="0"/>
        <v>-0.28915662650602414</v>
      </c>
      <c r="H60" s="13">
        <f t="shared" si="1"/>
        <v>2.8507305351212269E-3</v>
      </c>
      <c r="I60" s="4">
        <f t="shared" si="2"/>
        <v>6.5677966101694851E-2</v>
      </c>
      <c r="J60" s="21">
        <v>0.59399999999999997</v>
      </c>
      <c r="K60" s="20">
        <f t="shared" si="3"/>
        <v>-7.739856971317681E-2</v>
      </c>
      <c r="L60" s="25">
        <f t="shared" si="4"/>
        <v>7.739856971317681E-2</v>
      </c>
    </row>
    <row r="61" spans="2:12" x14ac:dyDescent="0.25">
      <c r="B61" s="2">
        <v>1035</v>
      </c>
      <c r="C61" s="3">
        <v>1416</v>
      </c>
      <c r="D61" s="3">
        <v>1064</v>
      </c>
      <c r="E61" s="3">
        <v>7205</v>
      </c>
      <c r="F61" s="3">
        <v>8351</v>
      </c>
      <c r="G61" s="4">
        <f t="shared" si="0"/>
        <v>-0.24858757062146897</v>
      </c>
      <c r="H61" s="13">
        <f t="shared" si="1"/>
        <v>2.3664463915305533E-2</v>
      </c>
      <c r="I61" s="4">
        <f t="shared" si="2"/>
        <v>0.15905621096460787</v>
      </c>
      <c r="J61" s="21">
        <v>0.35340000000000005</v>
      </c>
      <c r="K61" s="20">
        <f t="shared" si="3"/>
        <v>-7.6687251689124741E-2</v>
      </c>
      <c r="L61" s="25">
        <f t="shared" si="4"/>
        <v>7.6687251689124741E-2</v>
      </c>
    </row>
    <row r="62" spans="2:12" x14ac:dyDescent="0.25">
      <c r="B62" s="2">
        <v>1098</v>
      </c>
      <c r="C62" s="3">
        <v>262</v>
      </c>
      <c r="D62" s="3">
        <v>197</v>
      </c>
      <c r="E62" s="3">
        <v>1261</v>
      </c>
      <c r="F62" s="3">
        <v>1347</v>
      </c>
      <c r="G62" s="4">
        <f t="shared" si="0"/>
        <v>-0.24809160305343514</v>
      </c>
      <c r="H62" s="13">
        <f t="shared" si="1"/>
        <v>3.8170318397696746E-3</v>
      </c>
      <c r="I62" s="4">
        <f t="shared" si="2"/>
        <v>6.8199841395717664E-2</v>
      </c>
      <c r="J62" s="21">
        <v>0.43439999999999995</v>
      </c>
      <c r="K62" s="20">
        <f t="shared" si="3"/>
        <v>-7.6302422916523838E-2</v>
      </c>
      <c r="L62" s="25">
        <f t="shared" si="4"/>
        <v>7.6302422916523838E-2</v>
      </c>
    </row>
    <row r="63" spans="2:12" x14ac:dyDescent="0.25">
      <c r="B63" s="5">
        <v>985</v>
      </c>
      <c r="C63" s="6">
        <v>295</v>
      </c>
      <c r="D63" s="6">
        <v>225</v>
      </c>
      <c r="E63" s="6">
        <v>1728</v>
      </c>
      <c r="F63" s="6">
        <v>1894</v>
      </c>
      <c r="G63" s="7">
        <f t="shared" si="0"/>
        <v>-0.23728813559322037</v>
      </c>
      <c r="H63" s="13">
        <f t="shared" si="1"/>
        <v>5.3670811466397655E-3</v>
      </c>
      <c r="I63" s="7">
        <f t="shared" si="2"/>
        <v>9.6064814814814881E-2</v>
      </c>
      <c r="J63" s="22">
        <v>0.376</v>
      </c>
      <c r="K63" s="20">
        <f t="shared" si="3"/>
        <v>-7.5561337702454739E-2</v>
      </c>
      <c r="L63" s="25">
        <f t="shared" si="4"/>
        <v>7.5561337702454739E-2</v>
      </c>
    </row>
    <row r="64" spans="2:12" x14ac:dyDescent="0.25">
      <c r="B64" s="2">
        <v>1089</v>
      </c>
      <c r="C64" s="3">
        <v>246</v>
      </c>
      <c r="D64" s="3">
        <v>170</v>
      </c>
      <c r="E64" s="3">
        <v>925</v>
      </c>
      <c r="F64" s="3">
        <v>981</v>
      </c>
      <c r="G64" s="4">
        <f t="shared" si="0"/>
        <v>-0.30894308943089432</v>
      </c>
      <c r="H64" s="13">
        <f t="shared" si="1"/>
        <v>2.7798873309681149E-3</v>
      </c>
      <c r="I64" s="4">
        <f t="shared" si="2"/>
        <v>6.0540540540540588E-2</v>
      </c>
      <c r="J64" s="21">
        <v>0.68920000000000003</v>
      </c>
      <c r="K64" s="20">
        <f t="shared" si="3"/>
        <v>-7.5514816504837295E-2</v>
      </c>
      <c r="L64" s="25">
        <f t="shared" si="4"/>
        <v>7.5514816504837295E-2</v>
      </c>
    </row>
    <row r="65" spans="2:12" x14ac:dyDescent="0.25">
      <c r="B65" s="5">
        <v>991</v>
      </c>
      <c r="C65" s="6">
        <v>148</v>
      </c>
      <c r="D65" s="6">
        <v>112</v>
      </c>
      <c r="E65" s="6">
        <v>735</v>
      </c>
      <c r="F65" s="6">
        <v>744</v>
      </c>
      <c r="G65" s="7">
        <f t="shared" si="0"/>
        <v>-0.2432432432432432</v>
      </c>
      <c r="H65" s="13">
        <f t="shared" si="1"/>
        <v>2.1082937555966133E-3</v>
      </c>
      <c r="I65" s="7">
        <f t="shared" si="2"/>
        <v>1.2244897959183598E-2</v>
      </c>
      <c r="J65" s="22">
        <v>0.46310000000000001</v>
      </c>
      <c r="K65" s="20">
        <f t="shared" si="3"/>
        <v>-7.4940212086688079E-2</v>
      </c>
      <c r="L65" s="25">
        <f t="shared" si="4"/>
        <v>7.4940212086688079E-2</v>
      </c>
    </row>
    <row r="66" spans="2:12" x14ac:dyDescent="0.25">
      <c r="B66" s="2">
        <v>1103</v>
      </c>
      <c r="C66" s="3">
        <v>380</v>
      </c>
      <c r="D66" s="3">
        <v>284</v>
      </c>
      <c r="E66" s="3">
        <v>2056</v>
      </c>
      <c r="F66" s="3">
        <v>2220</v>
      </c>
      <c r="G66" s="4">
        <f t="shared" si="0"/>
        <v>-0.25263157894736843</v>
      </c>
      <c r="H66" s="13">
        <f t="shared" si="1"/>
        <v>6.2908765287963461E-3</v>
      </c>
      <c r="I66" s="4">
        <f t="shared" si="2"/>
        <v>7.9766536964980483E-2</v>
      </c>
      <c r="J66" s="21">
        <v>0.45669999999999999</v>
      </c>
      <c r="K66" s="20">
        <f t="shared" si="3"/>
        <v>-7.4153662192603567E-2</v>
      </c>
      <c r="L66" s="25">
        <f t="shared" si="4"/>
        <v>7.4153662192603567E-2</v>
      </c>
    </row>
    <row r="67" spans="2:12" x14ac:dyDescent="0.25">
      <c r="B67" s="2">
        <v>1031</v>
      </c>
      <c r="C67" s="3">
        <v>247</v>
      </c>
      <c r="D67" s="3">
        <v>182</v>
      </c>
      <c r="E67" s="3">
        <v>1016</v>
      </c>
      <c r="F67" s="3">
        <v>1077</v>
      </c>
      <c r="G67" s="4">
        <f t="shared" ref="G67:G130" si="5">(D67/C67)-1</f>
        <v>-0.26315789473684215</v>
      </c>
      <c r="H67" s="13">
        <f t="shared" ref="H67:H130" si="6">F67/$F$225</f>
        <v>3.0519252349160649E-3</v>
      </c>
      <c r="I67" s="4">
        <f t="shared" ref="I67:I130" si="7">(F67/E67-1)</f>
        <v>6.0039370078740051E-2</v>
      </c>
      <c r="J67" s="21">
        <v>0.51960000000000006</v>
      </c>
      <c r="K67" s="20">
        <f t="shared" ref="K67:K130" si="8">(G67*0.6)+(H67*0.15)+(I67*0.1)+(J67*0.15)</f>
        <v>-7.3493011048993862E-2</v>
      </c>
      <c r="L67" s="25">
        <f t="shared" si="4"/>
        <v>7.3493011048993862E-2</v>
      </c>
    </row>
    <row r="68" spans="2:12" x14ac:dyDescent="0.25">
      <c r="B68" s="5">
        <v>1244</v>
      </c>
      <c r="C68" s="6">
        <v>240</v>
      </c>
      <c r="D68" s="6">
        <v>188</v>
      </c>
      <c r="E68" s="6">
        <v>1170</v>
      </c>
      <c r="F68" s="6">
        <v>1260</v>
      </c>
      <c r="G68" s="7">
        <f t="shared" si="5"/>
        <v>-0.21666666666666667</v>
      </c>
      <c r="H68" s="13">
        <f t="shared" si="6"/>
        <v>3.570497489316845E-3</v>
      </c>
      <c r="I68" s="7">
        <f t="shared" si="7"/>
        <v>7.6923076923076872E-2</v>
      </c>
      <c r="J68" s="22">
        <v>0.32369999999999999</v>
      </c>
      <c r="K68" s="20">
        <f t="shared" si="8"/>
        <v>-7.3217117684294786E-2</v>
      </c>
      <c r="L68" s="25">
        <f t="shared" ref="L68:L131" si="9">K68*-1</f>
        <v>7.3217117684294786E-2</v>
      </c>
    </row>
    <row r="69" spans="2:12" x14ac:dyDescent="0.25">
      <c r="B69" s="2">
        <v>972</v>
      </c>
      <c r="C69" s="3">
        <v>304</v>
      </c>
      <c r="D69" s="3">
        <v>229</v>
      </c>
      <c r="E69" s="3">
        <v>1126</v>
      </c>
      <c r="F69" s="3">
        <v>1209</v>
      </c>
      <c r="G69" s="4">
        <f t="shared" si="5"/>
        <v>-0.24671052631578949</v>
      </c>
      <c r="H69" s="13">
        <f t="shared" si="6"/>
        <v>3.4259773528444964E-3</v>
      </c>
      <c r="I69" s="4">
        <f t="shared" si="7"/>
        <v>7.3712255772646618E-2</v>
      </c>
      <c r="J69" s="21">
        <v>0.44819999999999999</v>
      </c>
      <c r="K69" s="20">
        <f t="shared" si="8"/>
        <v>-7.2911193609282374E-2</v>
      </c>
      <c r="L69" s="25">
        <f t="shared" si="9"/>
        <v>7.2911193609282374E-2</v>
      </c>
    </row>
    <row r="70" spans="2:12" x14ac:dyDescent="0.25">
      <c r="B70" s="2">
        <v>1123</v>
      </c>
      <c r="C70" s="3">
        <v>180</v>
      </c>
      <c r="D70" s="3">
        <v>132</v>
      </c>
      <c r="E70" s="3">
        <v>809</v>
      </c>
      <c r="F70" s="3">
        <v>857</v>
      </c>
      <c r="G70" s="4">
        <f t="shared" si="5"/>
        <v>-0.26666666666666672</v>
      </c>
      <c r="H70" s="13">
        <f t="shared" si="6"/>
        <v>2.4285050383686794E-3</v>
      </c>
      <c r="I70" s="4">
        <f t="shared" si="7"/>
        <v>5.9332509270704659E-2</v>
      </c>
      <c r="J70" s="21">
        <v>0.5393</v>
      </c>
      <c r="K70" s="20">
        <f t="shared" si="8"/>
        <v>-7.2807473317174271E-2</v>
      </c>
      <c r="L70" s="25">
        <f t="shared" si="9"/>
        <v>7.2807473317174271E-2</v>
      </c>
    </row>
    <row r="71" spans="2:12" x14ac:dyDescent="0.25">
      <c r="B71" s="2">
        <v>1164</v>
      </c>
      <c r="C71" s="3">
        <v>370</v>
      </c>
      <c r="D71" s="3">
        <v>260</v>
      </c>
      <c r="E71" s="3">
        <v>1425</v>
      </c>
      <c r="F71" s="3">
        <v>1541</v>
      </c>
      <c r="G71" s="4">
        <f t="shared" si="5"/>
        <v>-0.29729729729729726</v>
      </c>
      <c r="H71" s="13">
        <f t="shared" si="6"/>
        <v>4.3667751039978241E-3</v>
      </c>
      <c r="I71" s="4">
        <f t="shared" si="7"/>
        <v>8.1403508771929811E-2</v>
      </c>
      <c r="J71" s="21">
        <v>0.65229999999999999</v>
      </c>
      <c r="K71" s="20">
        <f t="shared" si="8"/>
        <v>-7.1738011235585722E-2</v>
      </c>
      <c r="L71" s="25">
        <f t="shared" si="9"/>
        <v>7.1738011235585722E-2</v>
      </c>
    </row>
    <row r="72" spans="2:12" x14ac:dyDescent="0.25">
      <c r="B72" s="2">
        <v>1156</v>
      </c>
      <c r="C72" s="3">
        <v>148</v>
      </c>
      <c r="D72" s="3">
        <v>106</v>
      </c>
      <c r="E72" s="3">
        <v>459</v>
      </c>
      <c r="F72" s="3">
        <v>501</v>
      </c>
      <c r="G72" s="4">
        <f t="shared" si="5"/>
        <v>-0.28378378378378377</v>
      </c>
      <c r="H72" s="13">
        <f t="shared" si="6"/>
        <v>1.4196978112283646E-3</v>
      </c>
      <c r="I72" s="4">
        <f t="shared" si="7"/>
        <v>9.1503267973856106E-2</v>
      </c>
      <c r="J72" s="21">
        <v>0.59650000000000003</v>
      </c>
      <c r="K72" s="20">
        <f t="shared" si="8"/>
        <v>-7.1431988801200386E-2</v>
      </c>
      <c r="L72" s="25">
        <f t="shared" si="9"/>
        <v>7.1431988801200386E-2</v>
      </c>
    </row>
    <row r="73" spans="2:12" x14ac:dyDescent="0.25">
      <c r="B73" s="2">
        <v>1268</v>
      </c>
      <c r="C73" s="3">
        <v>2251</v>
      </c>
      <c r="D73" s="3">
        <v>1615</v>
      </c>
      <c r="E73" s="3">
        <v>9063</v>
      </c>
      <c r="F73" s="3">
        <v>10751</v>
      </c>
      <c r="G73" s="4">
        <f t="shared" si="5"/>
        <v>-0.2825410928476233</v>
      </c>
      <c r="H73" s="13">
        <f t="shared" si="6"/>
        <v>3.0465411514004285E-2</v>
      </c>
      <c r="I73" s="4">
        <f t="shared" si="7"/>
        <v>0.18625179300452399</v>
      </c>
      <c r="J73" s="21">
        <v>0.49990000000000001</v>
      </c>
      <c r="K73" s="20">
        <f t="shared" si="8"/>
        <v>-7.1344664681020936E-2</v>
      </c>
      <c r="L73" s="25">
        <f t="shared" si="9"/>
        <v>7.1344664681020936E-2</v>
      </c>
    </row>
    <row r="74" spans="2:12" x14ac:dyDescent="0.25">
      <c r="B74" s="2">
        <v>1169</v>
      </c>
      <c r="C74" s="3">
        <v>374</v>
      </c>
      <c r="D74" s="3">
        <v>270</v>
      </c>
      <c r="E74" s="3">
        <v>1201</v>
      </c>
      <c r="F74" s="3">
        <v>1272</v>
      </c>
      <c r="G74" s="4">
        <f t="shared" si="5"/>
        <v>-0.27807486631016043</v>
      </c>
      <c r="H74" s="13">
        <f t="shared" si="6"/>
        <v>3.6045022273103384E-3</v>
      </c>
      <c r="I74" s="4">
        <f t="shared" si="7"/>
        <v>5.9117402164862609E-2</v>
      </c>
      <c r="J74" s="21">
        <v>0.59729999999999994</v>
      </c>
      <c r="K74" s="20">
        <f t="shared" si="8"/>
        <v>-7.0797504235513439E-2</v>
      </c>
      <c r="L74" s="25">
        <f t="shared" si="9"/>
        <v>7.0797504235513439E-2</v>
      </c>
    </row>
    <row r="75" spans="2:12" x14ac:dyDescent="0.25">
      <c r="B75" s="2">
        <v>1183</v>
      </c>
      <c r="C75" s="3">
        <v>120</v>
      </c>
      <c r="D75" s="3">
        <v>84</v>
      </c>
      <c r="E75" s="3">
        <v>750</v>
      </c>
      <c r="F75" s="3">
        <v>790</v>
      </c>
      <c r="G75" s="4">
        <f t="shared" si="5"/>
        <v>-0.30000000000000004</v>
      </c>
      <c r="H75" s="13">
        <f t="shared" si="6"/>
        <v>2.2386452512383392E-3</v>
      </c>
      <c r="I75" s="4">
        <f t="shared" si="7"/>
        <v>5.3333333333333233E-2</v>
      </c>
      <c r="J75" s="21">
        <v>0.7</v>
      </c>
      <c r="K75" s="20">
        <f t="shared" si="8"/>
        <v>-6.9330869878980947E-2</v>
      </c>
      <c r="L75" s="25">
        <f t="shared" si="9"/>
        <v>6.9330869878980947E-2</v>
      </c>
    </row>
    <row r="76" spans="2:12" x14ac:dyDescent="0.25">
      <c r="B76" s="5">
        <v>990</v>
      </c>
      <c r="C76" s="6">
        <v>102</v>
      </c>
      <c r="D76" s="6">
        <v>78</v>
      </c>
      <c r="E76" s="6">
        <v>422</v>
      </c>
      <c r="F76" s="6">
        <v>464</v>
      </c>
      <c r="G76" s="7">
        <f t="shared" si="5"/>
        <v>-0.23529411764705888</v>
      </c>
      <c r="H76" s="13">
        <f t="shared" si="6"/>
        <v>1.3148498690817587E-3</v>
      </c>
      <c r="I76" s="7">
        <f t="shared" si="7"/>
        <v>9.9526066350710929E-2</v>
      </c>
      <c r="J76" s="22">
        <v>0.41270000000000001</v>
      </c>
      <c r="K76" s="20">
        <f t="shared" si="8"/>
        <v>-6.9121636472801964E-2</v>
      </c>
      <c r="L76" s="25">
        <f t="shared" si="9"/>
        <v>6.9121636472801964E-2</v>
      </c>
    </row>
    <row r="77" spans="2:12" x14ac:dyDescent="0.25">
      <c r="B77" s="5">
        <v>1106</v>
      </c>
      <c r="C77" s="6">
        <v>296</v>
      </c>
      <c r="D77" s="6">
        <v>231</v>
      </c>
      <c r="E77" s="6">
        <v>2018</v>
      </c>
      <c r="F77" s="6">
        <v>2192</v>
      </c>
      <c r="G77" s="7">
        <f t="shared" si="5"/>
        <v>-0.21959459459459463</v>
      </c>
      <c r="H77" s="13">
        <f t="shared" si="6"/>
        <v>6.2115321401448598E-3</v>
      </c>
      <c r="I77" s="7">
        <f t="shared" si="7"/>
        <v>8.6223984142715482E-2</v>
      </c>
      <c r="J77" s="22">
        <v>0.35710000000000003</v>
      </c>
      <c r="K77" s="20">
        <f t="shared" si="8"/>
        <v>-6.8637628521463503E-2</v>
      </c>
      <c r="L77" s="25">
        <f t="shared" si="9"/>
        <v>6.8637628521463503E-2</v>
      </c>
    </row>
    <row r="78" spans="2:12" x14ac:dyDescent="0.25">
      <c r="B78" s="2">
        <v>1072</v>
      </c>
      <c r="C78" s="3">
        <v>119</v>
      </c>
      <c r="D78" s="3">
        <v>85</v>
      </c>
      <c r="E78" s="3">
        <v>643</v>
      </c>
      <c r="F78" s="3">
        <v>662</v>
      </c>
      <c r="G78" s="4">
        <f t="shared" si="5"/>
        <v>-0.2857142857142857</v>
      </c>
      <c r="H78" s="13">
        <f t="shared" si="6"/>
        <v>1.8759280459744057E-3</v>
      </c>
      <c r="I78" s="4">
        <f t="shared" si="7"/>
        <v>2.9548989113530322E-2</v>
      </c>
      <c r="J78" s="21">
        <v>0.66559999999999997</v>
      </c>
      <c r="K78" s="20">
        <f t="shared" si="8"/>
        <v>-6.8352283310322212E-2</v>
      </c>
      <c r="L78" s="25">
        <f t="shared" si="9"/>
        <v>6.8352283310322212E-2</v>
      </c>
    </row>
    <row r="79" spans="2:12" x14ac:dyDescent="0.25">
      <c r="B79" s="2">
        <v>1226</v>
      </c>
      <c r="C79" s="3">
        <v>440</v>
      </c>
      <c r="D79" s="3">
        <v>317</v>
      </c>
      <c r="E79" s="3">
        <v>2009</v>
      </c>
      <c r="F79" s="3">
        <v>2181</v>
      </c>
      <c r="G79" s="4">
        <f t="shared" si="5"/>
        <v>-0.27954545454545454</v>
      </c>
      <c r="H79" s="13">
        <f t="shared" si="6"/>
        <v>6.1803611303174908E-3</v>
      </c>
      <c r="I79" s="4">
        <f t="shared" si="7"/>
        <v>8.5614733698357481E-2</v>
      </c>
      <c r="J79" s="21">
        <v>0.60070000000000001</v>
      </c>
      <c r="K79" s="20">
        <f t="shared" si="8"/>
        <v>-6.8133745187889325E-2</v>
      </c>
      <c r="L79" s="25">
        <f t="shared" si="9"/>
        <v>6.8133745187889325E-2</v>
      </c>
    </row>
    <row r="80" spans="2:12" x14ac:dyDescent="0.25">
      <c r="B80" s="2">
        <v>1050</v>
      </c>
      <c r="C80" s="3">
        <v>233</v>
      </c>
      <c r="D80" s="3">
        <v>170</v>
      </c>
      <c r="E80" s="3">
        <v>927</v>
      </c>
      <c r="F80" s="3">
        <v>1004</v>
      </c>
      <c r="G80" s="4">
        <f t="shared" si="5"/>
        <v>-0.27038626609442062</v>
      </c>
      <c r="H80" s="13">
        <f t="shared" si="6"/>
        <v>2.8450630787889781E-3</v>
      </c>
      <c r="I80" s="4">
        <f t="shared" si="7"/>
        <v>8.3063646170442373E-2</v>
      </c>
      <c r="J80" s="21">
        <v>0.57030000000000003</v>
      </c>
      <c r="K80" s="20">
        <f t="shared" si="8"/>
        <v>-6.7953635577789787E-2</v>
      </c>
      <c r="L80" s="25">
        <f t="shared" si="9"/>
        <v>6.7953635577789787E-2</v>
      </c>
    </row>
    <row r="81" spans="2:12" x14ac:dyDescent="0.25">
      <c r="B81" s="2">
        <v>1136</v>
      </c>
      <c r="C81" s="3">
        <v>260</v>
      </c>
      <c r="D81" s="3">
        <v>196</v>
      </c>
      <c r="E81" s="3">
        <v>1094</v>
      </c>
      <c r="F81" s="3">
        <v>1159</v>
      </c>
      <c r="G81" s="4">
        <f t="shared" si="5"/>
        <v>-0.24615384615384617</v>
      </c>
      <c r="H81" s="13">
        <f t="shared" si="6"/>
        <v>3.2842909445382723E-3</v>
      </c>
      <c r="I81" s="4">
        <f t="shared" si="7"/>
        <v>5.9414990859232075E-2</v>
      </c>
      <c r="J81" s="21">
        <v>0.50049999999999994</v>
      </c>
      <c r="K81" s="20">
        <f t="shared" si="8"/>
        <v>-6.6183164964703764E-2</v>
      </c>
      <c r="L81" s="25">
        <f t="shared" si="9"/>
        <v>6.6183164964703764E-2</v>
      </c>
    </row>
    <row r="82" spans="2:12" x14ac:dyDescent="0.25">
      <c r="B82" s="2">
        <v>1087</v>
      </c>
      <c r="C82" s="3">
        <v>261</v>
      </c>
      <c r="D82" s="3">
        <v>187</v>
      </c>
      <c r="E82" s="3">
        <v>1110</v>
      </c>
      <c r="F82" s="3">
        <v>1153</v>
      </c>
      <c r="G82" s="4">
        <f t="shared" si="5"/>
        <v>-0.28352490421455934</v>
      </c>
      <c r="H82" s="13">
        <f t="shared" si="6"/>
        <v>3.2672885755415256E-3</v>
      </c>
      <c r="I82" s="4">
        <f t="shared" si="7"/>
        <v>3.8738738738738787E-2</v>
      </c>
      <c r="J82" s="21">
        <v>0.66449999999999998</v>
      </c>
      <c r="K82" s="20">
        <f t="shared" si="8"/>
        <v>-6.6075975368530479E-2</v>
      </c>
      <c r="L82" s="25">
        <f t="shared" si="9"/>
        <v>6.6075975368530479E-2</v>
      </c>
    </row>
    <row r="83" spans="2:12" x14ac:dyDescent="0.25">
      <c r="B83" s="5">
        <v>981</v>
      </c>
      <c r="C83" s="6">
        <v>178</v>
      </c>
      <c r="D83" s="6">
        <v>136</v>
      </c>
      <c r="E83" s="6">
        <v>981</v>
      </c>
      <c r="F83" s="6">
        <v>1112</v>
      </c>
      <c r="G83" s="7">
        <f t="shared" si="5"/>
        <v>-0.2359550561797753</v>
      </c>
      <c r="H83" s="13">
        <f t="shared" si="6"/>
        <v>3.1511057207304219E-3</v>
      </c>
      <c r="I83" s="7">
        <f t="shared" si="7"/>
        <v>0.13353720693170223</v>
      </c>
      <c r="J83" s="22">
        <v>0.4264</v>
      </c>
      <c r="K83" s="20">
        <f t="shared" si="8"/>
        <v>-6.3786647156585372E-2</v>
      </c>
      <c r="L83" s="25">
        <f t="shared" si="9"/>
        <v>6.3786647156585372E-2</v>
      </c>
    </row>
    <row r="84" spans="2:12" x14ac:dyDescent="0.25">
      <c r="B84" s="2">
        <v>1122</v>
      </c>
      <c r="C84" s="3">
        <v>255</v>
      </c>
      <c r="D84" s="3">
        <v>188</v>
      </c>
      <c r="E84" s="3">
        <v>1080</v>
      </c>
      <c r="F84" s="3">
        <v>1155</v>
      </c>
      <c r="G84" s="4">
        <f t="shared" si="5"/>
        <v>-0.26274509803921564</v>
      </c>
      <c r="H84" s="13">
        <f t="shared" si="6"/>
        <v>3.2729560318737745E-3</v>
      </c>
      <c r="I84" s="4">
        <f t="shared" si="7"/>
        <v>6.944444444444442E-2</v>
      </c>
      <c r="J84" s="21">
        <v>0.57950000000000002</v>
      </c>
      <c r="K84" s="20">
        <f t="shared" si="8"/>
        <v>-6.3286670974303877E-2</v>
      </c>
      <c r="L84" s="25">
        <f t="shared" si="9"/>
        <v>6.3286670974303877E-2</v>
      </c>
    </row>
    <row r="85" spans="2:12" x14ac:dyDescent="0.25">
      <c r="B85" s="5">
        <v>1245</v>
      </c>
      <c r="C85" s="6">
        <v>243</v>
      </c>
      <c r="D85" s="6">
        <v>191</v>
      </c>
      <c r="E85" s="6">
        <v>1554</v>
      </c>
      <c r="F85" s="6">
        <v>1711</v>
      </c>
      <c r="G85" s="7">
        <f t="shared" si="5"/>
        <v>-0.21399176954732513</v>
      </c>
      <c r="H85" s="13">
        <f t="shared" si="6"/>
        <v>4.8485088922389855E-3</v>
      </c>
      <c r="I85" s="7">
        <f t="shared" si="7"/>
        <v>0.10102960102960101</v>
      </c>
      <c r="J85" s="22">
        <v>0.36270000000000002</v>
      </c>
      <c r="K85" s="20">
        <f t="shared" si="8"/>
        <v>-6.3159825291599109E-2</v>
      </c>
      <c r="L85" s="25">
        <f t="shared" si="9"/>
        <v>6.3159825291599109E-2</v>
      </c>
    </row>
    <row r="86" spans="2:12" x14ac:dyDescent="0.25">
      <c r="B86" s="5">
        <v>1230</v>
      </c>
      <c r="C86" s="6">
        <v>331</v>
      </c>
      <c r="D86" s="6">
        <v>258</v>
      </c>
      <c r="E86" s="6">
        <v>1759</v>
      </c>
      <c r="F86" s="6">
        <v>1939</v>
      </c>
      <c r="G86" s="7">
        <f t="shared" si="5"/>
        <v>-0.22054380664652573</v>
      </c>
      <c r="H86" s="13">
        <f t="shared" si="6"/>
        <v>5.4945989141153666E-3</v>
      </c>
      <c r="I86" s="7">
        <f t="shared" si="7"/>
        <v>0.10233086981239348</v>
      </c>
      <c r="J86" s="22">
        <v>0.3931</v>
      </c>
      <c r="K86" s="20">
        <f t="shared" si="8"/>
        <v>-6.2304007169558799E-2</v>
      </c>
      <c r="L86" s="25">
        <f t="shared" si="9"/>
        <v>6.2304007169558799E-2</v>
      </c>
    </row>
    <row r="87" spans="2:12" x14ac:dyDescent="0.25">
      <c r="B87" s="2">
        <v>1047</v>
      </c>
      <c r="C87" s="3">
        <v>178</v>
      </c>
      <c r="D87" s="3">
        <v>132</v>
      </c>
      <c r="E87" s="3">
        <v>776</v>
      </c>
      <c r="F87" s="3">
        <v>851</v>
      </c>
      <c r="G87" s="4">
        <f t="shared" si="5"/>
        <v>-0.2584269662921348</v>
      </c>
      <c r="H87" s="13">
        <f t="shared" si="6"/>
        <v>2.4115026693719323E-3</v>
      </c>
      <c r="I87" s="4">
        <f t="shared" si="7"/>
        <v>9.6649484536082575E-2</v>
      </c>
      <c r="J87" s="21">
        <v>0.55770000000000008</v>
      </c>
      <c r="K87" s="20">
        <f t="shared" si="8"/>
        <v>-6.1374505921266809E-2</v>
      </c>
      <c r="L87" s="25">
        <f t="shared" si="9"/>
        <v>6.1374505921266809E-2</v>
      </c>
    </row>
    <row r="88" spans="2:12" x14ac:dyDescent="0.25">
      <c r="B88" s="2">
        <v>1170</v>
      </c>
      <c r="C88" s="3">
        <v>278</v>
      </c>
      <c r="D88" s="3">
        <v>209</v>
      </c>
      <c r="E88" s="3">
        <v>1098</v>
      </c>
      <c r="F88" s="3">
        <v>1188</v>
      </c>
      <c r="G88" s="4">
        <f t="shared" si="5"/>
        <v>-0.24820143884892087</v>
      </c>
      <c r="H88" s="13">
        <f t="shared" si="6"/>
        <v>3.3664690613558822E-3</v>
      </c>
      <c r="I88" s="4">
        <f t="shared" si="7"/>
        <v>8.1967213114754189E-2</v>
      </c>
      <c r="J88" s="21">
        <v>0.52710000000000001</v>
      </c>
      <c r="K88" s="20">
        <f t="shared" si="8"/>
        <v>-6.1154171638673732E-2</v>
      </c>
      <c r="L88" s="25">
        <f t="shared" si="9"/>
        <v>6.1154171638673732E-2</v>
      </c>
    </row>
    <row r="89" spans="2:12" x14ac:dyDescent="0.25">
      <c r="B89" s="2">
        <v>1081</v>
      </c>
      <c r="C89" s="3">
        <v>201</v>
      </c>
      <c r="D89" s="3">
        <v>149</v>
      </c>
      <c r="E89" s="3">
        <v>897</v>
      </c>
      <c r="F89" s="3">
        <v>985</v>
      </c>
      <c r="G89" s="4">
        <f t="shared" si="5"/>
        <v>-0.25870646766169159</v>
      </c>
      <c r="H89" s="13">
        <f t="shared" si="6"/>
        <v>2.7912222436326127E-3</v>
      </c>
      <c r="I89" s="4">
        <f t="shared" si="7"/>
        <v>9.8104793756967679E-2</v>
      </c>
      <c r="J89" s="21">
        <v>0.56240000000000001</v>
      </c>
      <c r="K89" s="20">
        <f t="shared" si="8"/>
        <v>-6.0634717884773301E-2</v>
      </c>
      <c r="L89" s="25">
        <f t="shared" si="9"/>
        <v>6.0634717884773301E-2</v>
      </c>
    </row>
    <row r="90" spans="2:12" x14ac:dyDescent="0.25">
      <c r="B90" s="5">
        <v>968</v>
      </c>
      <c r="C90" s="6">
        <v>235</v>
      </c>
      <c r="D90" s="6">
        <v>179</v>
      </c>
      <c r="E90" s="6">
        <v>972</v>
      </c>
      <c r="F90" s="6">
        <v>1051</v>
      </c>
      <c r="G90" s="7">
        <f t="shared" si="5"/>
        <v>-0.23829787234042554</v>
      </c>
      <c r="H90" s="13">
        <f t="shared" si="6"/>
        <v>2.9782483025968284E-3</v>
      </c>
      <c r="I90" s="7">
        <f t="shared" si="7"/>
        <v>8.1275720164609044E-2</v>
      </c>
      <c r="J90" s="22">
        <v>0.49640000000000001</v>
      </c>
      <c r="K90" s="20">
        <f t="shared" si="8"/>
        <v>-5.9944414142404895E-2</v>
      </c>
      <c r="L90" s="25">
        <f t="shared" si="9"/>
        <v>5.9944414142404895E-2</v>
      </c>
    </row>
    <row r="91" spans="2:12" x14ac:dyDescent="0.25">
      <c r="B91" s="5">
        <v>1108</v>
      </c>
      <c r="C91" s="6">
        <v>320</v>
      </c>
      <c r="D91" s="6">
        <v>243</v>
      </c>
      <c r="E91" s="6">
        <v>1532</v>
      </c>
      <c r="F91" s="6">
        <v>1703</v>
      </c>
      <c r="G91" s="7">
        <f t="shared" si="5"/>
        <v>-0.24062499999999998</v>
      </c>
      <c r="H91" s="13">
        <f t="shared" si="6"/>
        <v>4.8258390669099899E-3</v>
      </c>
      <c r="I91" s="7">
        <f t="shared" si="7"/>
        <v>0.11161879895561366</v>
      </c>
      <c r="J91" s="22">
        <v>0.4839</v>
      </c>
      <c r="K91" s="20">
        <f t="shared" si="8"/>
        <v>-5.9904244244402119E-2</v>
      </c>
      <c r="L91" s="25">
        <f t="shared" si="9"/>
        <v>5.9904244244402119E-2</v>
      </c>
    </row>
    <row r="92" spans="2:12" x14ac:dyDescent="0.25">
      <c r="B92" s="5">
        <v>1229</v>
      </c>
      <c r="C92" s="6">
        <v>311</v>
      </c>
      <c r="D92" s="6">
        <v>239</v>
      </c>
      <c r="E92" s="6">
        <v>1660</v>
      </c>
      <c r="F92" s="6">
        <v>1806</v>
      </c>
      <c r="G92" s="7">
        <f t="shared" si="5"/>
        <v>-0.23151125401929262</v>
      </c>
      <c r="H92" s="13">
        <f t="shared" si="6"/>
        <v>5.1177130680208106E-3</v>
      </c>
      <c r="I92" s="7">
        <f t="shared" si="7"/>
        <v>8.7951807228915602E-2</v>
      </c>
      <c r="J92" s="22">
        <v>0.4703</v>
      </c>
      <c r="K92" s="20">
        <f t="shared" si="8"/>
        <v>-5.8798914728480894E-2</v>
      </c>
      <c r="L92" s="25">
        <f t="shared" si="9"/>
        <v>5.8798914728480894E-2</v>
      </c>
    </row>
    <row r="93" spans="2:12" x14ac:dyDescent="0.25">
      <c r="B93" s="5">
        <v>1232</v>
      </c>
      <c r="C93" s="6">
        <v>645</v>
      </c>
      <c r="D93" s="6">
        <v>522</v>
      </c>
      <c r="E93" s="6">
        <v>4161</v>
      </c>
      <c r="F93" s="6">
        <v>4573</v>
      </c>
      <c r="G93" s="7">
        <f t="shared" si="5"/>
        <v>-0.19069767441860463</v>
      </c>
      <c r="H93" s="13">
        <f t="shared" si="6"/>
        <v>1.2958638903687246E-2</v>
      </c>
      <c r="I93" s="7">
        <f t="shared" si="7"/>
        <v>9.9014659937515015E-2</v>
      </c>
      <c r="J93" s="22">
        <v>0.30260000000000004</v>
      </c>
      <c r="K93" s="20">
        <f t="shared" si="8"/>
        <v>-5.718334282185817E-2</v>
      </c>
      <c r="L93" s="25">
        <f t="shared" si="9"/>
        <v>5.718334282185817E-2</v>
      </c>
    </row>
    <row r="94" spans="2:12" x14ac:dyDescent="0.25">
      <c r="B94" s="5">
        <v>1044</v>
      </c>
      <c r="C94" s="6">
        <v>166</v>
      </c>
      <c r="D94" s="6">
        <v>126</v>
      </c>
      <c r="E94" s="6">
        <v>771</v>
      </c>
      <c r="F94" s="6">
        <v>770</v>
      </c>
      <c r="G94" s="7">
        <f t="shared" si="5"/>
        <v>-0.24096385542168675</v>
      </c>
      <c r="H94" s="13">
        <f t="shared" si="6"/>
        <v>2.1819706879158498E-3</v>
      </c>
      <c r="I94" s="7">
        <f t="shared" si="7"/>
        <v>-1.2970168612191912E-3</v>
      </c>
      <c r="J94" s="22">
        <v>0.58630000000000004</v>
      </c>
      <c r="K94" s="20">
        <f t="shared" si="8"/>
        <v>-5.6435719335946585E-2</v>
      </c>
      <c r="L94" s="25">
        <f t="shared" si="9"/>
        <v>5.6435719335946585E-2</v>
      </c>
    </row>
    <row r="95" spans="2:12" x14ac:dyDescent="0.25">
      <c r="B95" s="2">
        <v>1068</v>
      </c>
      <c r="C95" s="3">
        <v>99</v>
      </c>
      <c r="D95" s="3">
        <v>74</v>
      </c>
      <c r="E95" s="3">
        <v>474</v>
      </c>
      <c r="F95" s="3">
        <v>517</v>
      </c>
      <c r="G95" s="4">
        <f t="shared" si="5"/>
        <v>-0.25252525252525249</v>
      </c>
      <c r="H95" s="13">
        <f t="shared" si="6"/>
        <v>1.4650374618863562E-3</v>
      </c>
      <c r="I95" s="4">
        <f t="shared" si="7"/>
        <v>9.0717299578058963E-2</v>
      </c>
      <c r="J95" s="21">
        <v>0.57229999999999992</v>
      </c>
      <c r="K95" s="20">
        <f t="shared" si="8"/>
        <v>-5.6378665938062664E-2</v>
      </c>
      <c r="L95" s="25">
        <f t="shared" si="9"/>
        <v>5.6378665938062664E-2</v>
      </c>
    </row>
    <row r="96" spans="2:12" x14ac:dyDescent="0.25">
      <c r="B96" s="5">
        <v>2675</v>
      </c>
      <c r="C96" s="6">
        <v>564</v>
      </c>
      <c r="D96" s="6">
        <v>437</v>
      </c>
      <c r="E96" s="6">
        <v>2525</v>
      </c>
      <c r="F96" s="6">
        <v>2975</v>
      </c>
      <c r="G96" s="7">
        <f t="shared" si="5"/>
        <v>-0.22517730496453903</v>
      </c>
      <c r="H96" s="13">
        <f t="shared" si="6"/>
        <v>8.4303412942203278E-3</v>
      </c>
      <c r="I96" s="7">
        <f t="shared" si="7"/>
        <v>0.17821782178217815</v>
      </c>
      <c r="J96" s="22">
        <v>0.39929999999999999</v>
      </c>
      <c r="K96" s="20">
        <f t="shared" si="8"/>
        <v>-5.6125049606372553E-2</v>
      </c>
      <c r="L96" s="25">
        <f t="shared" si="9"/>
        <v>5.6125049606372553E-2</v>
      </c>
    </row>
    <row r="97" spans="2:12" x14ac:dyDescent="0.25">
      <c r="B97" s="2">
        <v>1114</v>
      </c>
      <c r="C97" s="3">
        <v>141</v>
      </c>
      <c r="D97" s="3">
        <v>99</v>
      </c>
      <c r="E97" s="3">
        <v>865</v>
      </c>
      <c r="F97" s="3">
        <v>950</v>
      </c>
      <c r="G97" s="4">
        <f t="shared" si="5"/>
        <v>-0.2978723404255319</v>
      </c>
      <c r="H97" s="13">
        <f t="shared" si="6"/>
        <v>2.6920417578182561E-3</v>
      </c>
      <c r="I97" s="4">
        <f t="shared" si="7"/>
        <v>9.8265895953757232E-2</v>
      </c>
      <c r="J97" s="21">
        <v>0.75060000000000004</v>
      </c>
      <c r="K97" s="20">
        <f t="shared" si="8"/>
        <v>-5.5903008396270687E-2</v>
      </c>
      <c r="L97" s="25">
        <f t="shared" si="9"/>
        <v>5.5903008396270687E-2</v>
      </c>
    </row>
    <row r="98" spans="2:12" x14ac:dyDescent="0.25">
      <c r="B98" s="2">
        <v>1111</v>
      </c>
      <c r="C98" s="3">
        <v>168</v>
      </c>
      <c r="D98" s="3">
        <v>120</v>
      </c>
      <c r="E98" s="3">
        <v>1076</v>
      </c>
      <c r="F98" s="3">
        <v>1164</v>
      </c>
      <c r="G98" s="4">
        <f t="shared" si="5"/>
        <v>-0.2857142857142857</v>
      </c>
      <c r="H98" s="13">
        <f t="shared" si="6"/>
        <v>3.2984595853688945E-3</v>
      </c>
      <c r="I98" s="4">
        <f t="shared" si="7"/>
        <v>8.1784386617100413E-2</v>
      </c>
      <c r="J98" s="21">
        <v>0.71489999999999998</v>
      </c>
      <c r="K98" s="20">
        <f t="shared" si="8"/>
        <v>-5.5520363829056035E-2</v>
      </c>
      <c r="L98" s="25">
        <f t="shared" si="9"/>
        <v>5.5520363829056035E-2</v>
      </c>
    </row>
    <row r="99" spans="2:12" x14ac:dyDescent="0.25">
      <c r="B99" s="2">
        <v>1173</v>
      </c>
      <c r="C99" s="3">
        <v>108</v>
      </c>
      <c r="D99" s="3">
        <v>77</v>
      </c>
      <c r="E99" s="3">
        <v>569</v>
      </c>
      <c r="F99" s="3">
        <v>611</v>
      </c>
      <c r="G99" s="4">
        <f t="shared" si="5"/>
        <v>-0.28703703703703709</v>
      </c>
      <c r="H99" s="13">
        <f t="shared" si="6"/>
        <v>1.7314079095020573E-3</v>
      </c>
      <c r="I99" s="4">
        <f t="shared" si="7"/>
        <v>7.381370826010536E-2</v>
      </c>
      <c r="J99" s="21">
        <v>0.73199999999999998</v>
      </c>
      <c r="K99" s="20">
        <f t="shared" si="8"/>
        <v>-5.4781140209786403E-2</v>
      </c>
      <c r="L99" s="7">
        <f t="shared" si="9"/>
        <v>5.4781140209786403E-2</v>
      </c>
    </row>
    <row r="100" spans="2:12" x14ac:dyDescent="0.25">
      <c r="B100" s="2">
        <v>1045</v>
      </c>
      <c r="C100" s="3">
        <v>215</v>
      </c>
      <c r="D100" s="3">
        <v>161</v>
      </c>
      <c r="E100" s="3">
        <v>909</v>
      </c>
      <c r="F100" s="3">
        <v>996</v>
      </c>
      <c r="G100" s="4">
        <f t="shared" si="5"/>
        <v>-0.25116279069767444</v>
      </c>
      <c r="H100" s="13">
        <f t="shared" si="6"/>
        <v>2.822393253459982E-3</v>
      </c>
      <c r="I100" s="4">
        <f t="shared" si="7"/>
        <v>9.5709570957095647E-2</v>
      </c>
      <c r="J100" s="21">
        <v>0.57310000000000005</v>
      </c>
      <c r="K100" s="20">
        <f t="shared" si="8"/>
        <v>-5.47383583348761E-2</v>
      </c>
      <c r="L100" s="7">
        <f t="shared" si="9"/>
        <v>5.47383583348761E-2</v>
      </c>
    </row>
    <row r="101" spans="2:12" x14ac:dyDescent="0.25">
      <c r="B101" s="5">
        <v>1071</v>
      </c>
      <c r="C101" s="6">
        <v>144</v>
      </c>
      <c r="D101" s="6">
        <v>110</v>
      </c>
      <c r="E101" s="6">
        <v>647</v>
      </c>
      <c r="F101" s="6">
        <v>650</v>
      </c>
      <c r="G101" s="7">
        <f t="shared" si="5"/>
        <v>-0.23611111111111116</v>
      </c>
      <c r="H101" s="13">
        <f t="shared" si="6"/>
        <v>1.8419233079809119E-3</v>
      </c>
      <c r="I101" s="7">
        <f t="shared" si="7"/>
        <v>4.6367851622874934E-3</v>
      </c>
      <c r="J101" s="22">
        <v>0.57540000000000002</v>
      </c>
      <c r="K101" s="20">
        <f t="shared" si="8"/>
        <v>-5.4616699654240819E-2</v>
      </c>
      <c r="L101" s="7">
        <f t="shared" si="9"/>
        <v>5.4616699654240819E-2</v>
      </c>
    </row>
    <row r="102" spans="2:12" x14ac:dyDescent="0.25">
      <c r="B102" s="5">
        <v>1097</v>
      </c>
      <c r="C102" s="6">
        <v>432</v>
      </c>
      <c r="D102" s="6">
        <v>332</v>
      </c>
      <c r="E102" s="6">
        <v>2011</v>
      </c>
      <c r="F102" s="6">
        <v>2190</v>
      </c>
      <c r="G102" s="7">
        <f t="shared" si="5"/>
        <v>-0.23148148148148151</v>
      </c>
      <c r="H102" s="13">
        <f t="shared" si="6"/>
        <v>6.2058646838126109E-3</v>
      </c>
      <c r="I102" s="7">
        <f t="shared" si="7"/>
        <v>8.9010442565887526E-2</v>
      </c>
      <c r="J102" s="22">
        <v>0.50240000000000007</v>
      </c>
      <c r="K102" s="20">
        <f t="shared" si="8"/>
        <v>-5.3696964929728253E-2</v>
      </c>
      <c r="L102" s="7">
        <f t="shared" si="9"/>
        <v>5.3696964929728253E-2</v>
      </c>
    </row>
    <row r="103" spans="2:12" x14ac:dyDescent="0.25">
      <c r="B103" s="2">
        <v>1065</v>
      </c>
      <c r="C103" s="3">
        <v>131</v>
      </c>
      <c r="D103" s="3">
        <v>98</v>
      </c>
      <c r="E103" s="3">
        <v>457</v>
      </c>
      <c r="F103" s="3">
        <v>476</v>
      </c>
      <c r="G103" s="4">
        <f t="shared" si="5"/>
        <v>-0.25190839694656486</v>
      </c>
      <c r="H103" s="13">
        <f t="shared" si="6"/>
        <v>1.3488546070752525E-3</v>
      </c>
      <c r="I103" s="4">
        <f t="shared" si="7"/>
        <v>4.1575492341356712E-2</v>
      </c>
      <c r="J103" s="21">
        <v>0.62159999999999993</v>
      </c>
      <c r="K103" s="20">
        <f t="shared" si="8"/>
        <v>-5.3545160742741987E-2</v>
      </c>
      <c r="L103" s="7">
        <f t="shared" si="9"/>
        <v>5.3545160742741987E-2</v>
      </c>
    </row>
    <row r="104" spans="2:12" x14ac:dyDescent="0.25">
      <c r="B104" s="5">
        <v>1135</v>
      </c>
      <c r="C104" s="6">
        <v>268</v>
      </c>
      <c r="D104" s="6">
        <v>204</v>
      </c>
      <c r="E104" s="6">
        <v>1004</v>
      </c>
      <c r="F104" s="6">
        <v>1064</v>
      </c>
      <c r="G104" s="7">
        <f t="shared" si="5"/>
        <v>-0.23880597014925375</v>
      </c>
      <c r="H104" s="13">
        <f t="shared" si="6"/>
        <v>3.0150867687564467E-3</v>
      </c>
      <c r="I104" s="7">
        <f t="shared" si="7"/>
        <v>5.9760956175298752E-2</v>
      </c>
      <c r="J104" s="22">
        <v>0.55590000000000006</v>
      </c>
      <c r="K104" s="20">
        <f t="shared" si="8"/>
        <v>-5.3470223456708918E-2</v>
      </c>
      <c r="L104" s="7">
        <f t="shared" si="9"/>
        <v>5.3470223456708918E-2</v>
      </c>
    </row>
    <row r="105" spans="2:12" x14ac:dyDescent="0.25">
      <c r="B105" s="2">
        <v>1070</v>
      </c>
      <c r="C105" s="3">
        <v>183</v>
      </c>
      <c r="D105" s="3">
        <v>137</v>
      </c>
      <c r="E105" s="3">
        <v>774</v>
      </c>
      <c r="F105" s="3">
        <v>832</v>
      </c>
      <c r="G105" s="4">
        <f t="shared" si="5"/>
        <v>-0.25136612021857918</v>
      </c>
      <c r="H105" s="13">
        <f t="shared" si="6"/>
        <v>2.3576618342155673E-3</v>
      </c>
      <c r="I105" s="4">
        <f t="shared" si="7"/>
        <v>7.4935400516795925E-2</v>
      </c>
      <c r="J105" s="21">
        <v>0.59840000000000004</v>
      </c>
      <c r="K105" s="20">
        <f t="shared" si="8"/>
        <v>-5.3212482804335548E-2</v>
      </c>
      <c r="L105" s="7">
        <f t="shared" si="9"/>
        <v>5.3212482804335548E-2</v>
      </c>
    </row>
    <row r="106" spans="2:12" x14ac:dyDescent="0.25">
      <c r="B106" s="5">
        <v>988</v>
      </c>
      <c r="C106" s="6">
        <v>226</v>
      </c>
      <c r="D106" s="6">
        <v>178</v>
      </c>
      <c r="E106" s="6">
        <v>899</v>
      </c>
      <c r="F106" s="6">
        <v>973</v>
      </c>
      <c r="G106" s="7">
        <f t="shared" si="5"/>
        <v>-0.21238938053097345</v>
      </c>
      <c r="H106" s="13">
        <f t="shared" si="6"/>
        <v>2.7572175056391189E-3</v>
      </c>
      <c r="I106" s="7">
        <f t="shared" si="7"/>
        <v>8.2313681868743105E-2</v>
      </c>
      <c r="J106" s="22">
        <v>0.44119999999999998</v>
      </c>
      <c r="K106" s="20">
        <f t="shared" si="8"/>
        <v>-5.2608677505863899E-2</v>
      </c>
      <c r="L106" s="7">
        <f t="shared" si="9"/>
        <v>5.2608677505863899E-2</v>
      </c>
    </row>
    <row r="107" spans="2:12" x14ac:dyDescent="0.25">
      <c r="B107" s="2">
        <v>1159</v>
      </c>
      <c r="C107" s="3">
        <v>1128</v>
      </c>
      <c r="D107" s="3">
        <v>830</v>
      </c>
      <c r="E107" s="3">
        <v>4069</v>
      </c>
      <c r="F107" s="3">
        <v>4596</v>
      </c>
      <c r="G107" s="4">
        <f t="shared" si="5"/>
        <v>-0.26418439716312059</v>
      </c>
      <c r="H107" s="13">
        <f t="shared" si="6"/>
        <v>1.3023814651508109E-2</v>
      </c>
      <c r="I107" s="4">
        <f t="shared" si="7"/>
        <v>0.1295158515605801</v>
      </c>
      <c r="J107" s="21">
        <v>0.60840000000000005</v>
      </c>
      <c r="K107" s="20">
        <f t="shared" si="8"/>
        <v>-5.2345480944088113E-2</v>
      </c>
      <c r="L107" s="7">
        <f t="shared" si="9"/>
        <v>5.2345480944088113E-2</v>
      </c>
    </row>
    <row r="108" spans="2:12" x14ac:dyDescent="0.25">
      <c r="B108" s="5">
        <v>997</v>
      </c>
      <c r="C108" s="6">
        <v>268</v>
      </c>
      <c r="D108" s="6">
        <v>204</v>
      </c>
      <c r="E108" s="6">
        <v>1063</v>
      </c>
      <c r="F108" s="6">
        <v>1145</v>
      </c>
      <c r="G108" s="7">
        <f t="shared" si="5"/>
        <v>-0.23880597014925375</v>
      </c>
      <c r="H108" s="13">
        <f t="shared" si="6"/>
        <v>3.2446187502125296E-3</v>
      </c>
      <c r="I108" s="7">
        <f t="shared" si="7"/>
        <v>7.7140169332079012E-2</v>
      </c>
      <c r="J108" s="22">
        <v>0.55490000000000006</v>
      </c>
      <c r="K108" s="20">
        <f t="shared" si="8"/>
        <v>-5.1847872343812468E-2</v>
      </c>
      <c r="L108" s="7">
        <f t="shared" si="9"/>
        <v>5.1847872343812468E-2</v>
      </c>
    </row>
    <row r="109" spans="2:12" x14ac:dyDescent="0.25">
      <c r="B109" s="5">
        <v>1152</v>
      </c>
      <c r="C109" s="6">
        <v>322</v>
      </c>
      <c r="D109" s="6">
        <v>244</v>
      </c>
      <c r="E109" s="6">
        <v>1143</v>
      </c>
      <c r="F109" s="6">
        <v>1228</v>
      </c>
      <c r="G109" s="7">
        <f t="shared" si="5"/>
        <v>-0.24223602484472051</v>
      </c>
      <c r="H109" s="13">
        <f t="shared" si="6"/>
        <v>3.4798181880008614E-3</v>
      </c>
      <c r="I109" s="7">
        <f t="shared" si="7"/>
        <v>7.4365704286964096E-2</v>
      </c>
      <c r="J109" s="22">
        <v>0.58450000000000002</v>
      </c>
      <c r="K109" s="20">
        <f t="shared" si="8"/>
        <v>-4.9708071749935773E-2</v>
      </c>
      <c r="L109" s="7">
        <f t="shared" si="9"/>
        <v>4.9708071749935773E-2</v>
      </c>
    </row>
    <row r="110" spans="2:12" x14ac:dyDescent="0.25">
      <c r="B110" s="5">
        <v>1100</v>
      </c>
      <c r="C110" s="6">
        <v>335</v>
      </c>
      <c r="D110" s="6">
        <v>262</v>
      </c>
      <c r="E110" s="6">
        <v>1694</v>
      </c>
      <c r="F110" s="6">
        <v>1888</v>
      </c>
      <c r="G110" s="7">
        <f t="shared" si="5"/>
        <v>-0.21791044776119406</v>
      </c>
      <c r="H110" s="13">
        <f t="shared" si="6"/>
        <v>5.350078777643018E-3</v>
      </c>
      <c r="I110" s="7">
        <f t="shared" si="7"/>
        <v>0.11452184179456903</v>
      </c>
      <c r="J110" s="22">
        <v>0.46490000000000004</v>
      </c>
      <c r="K110" s="20">
        <f t="shared" si="8"/>
        <v>-4.8756572660613076E-2</v>
      </c>
      <c r="L110" s="7">
        <f t="shared" si="9"/>
        <v>4.8756572660613076E-2</v>
      </c>
    </row>
    <row r="111" spans="2:12" x14ac:dyDescent="0.25">
      <c r="B111" s="5">
        <v>1138</v>
      </c>
      <c r="C111" s="6">
        <v>270</v>
      </c>
      <c r="D111" s="6">
        <v>211</v>
      </c>
      <c r="E111" s="6">
        <v>1032</v>
      </c>
      <c r="F111" s="6">
        <v>1101</v>
      </c>
      <c r="G111" s="7">
        <f t="shared" si="5"/>
        <v>-0.21851851851851856</v>
      </c>
      <c r="H111" s="13">
        <f t="shared" si="6"/>
        <v>3.1199347109030526E-3</v>
      </c>
      <c r="I111" s="7">
        <f t="shared" si="7"/>
        <v>6.6860465116278966E-2</v>
      </c>
      <c r="J111" s="22">
        <v>0.50539999999999996</v>
      </c>
      <c r="K111" s="20">
        <f t="shared" si="8"/>
        <v>-4.814707439284778E-2</v>
      </c>
      <c r="L111" s="7">
        <f t="shared" si="9"/>
        <v>4.814707439284778E-2</v>
      </c>
    </row>
    <row r="112" spans="2:12" x14ac:dyDescent="0.25">
      <c r="B112" s="5">
        <v>1234</v>
      </c>
      <c r="C112" s="6">
        <v>288</v>
      </c>
      <c r="D112" s="6">
        <v>233</v>
      </c>
      <c r="E112" s="6">
        <v>1238</v>
      </c>
      <c r="F112" s="6">
        <v>1290</v>
      </c>
      <c r="G112" s="7">
        <f t="shared" si="5"/>
        <v>-0.19097222222222221</v>
      </c>
      <c r="H112" s="13">
        <f t="shared" si="6"/>
        <v>3.6555093343005793E-3</v>
      </c>
      <c r="I112" s="7">
        <f t="shared" si="7"/>
        <v>4.2003231017770704E-2</v>
      </c>
      <c r="J112" s="22">
        <v>0.41159999999999997</v>
      </c>
      <c r="K112" s="20">
        <f t="shared" si="8"/>
        <v>-4.8094683831411175E-2</v>
      </c>
      <c r="L112" s="7">
        <f t="shared" si="9"/>
        <v>4.8094683831411175E-2</v>
      </c>
    </row>
    <row r="113" spans="2:12" x14ac:dyDescent="0.25">
      <c r="B113" s="5">
        <v>1285</v>
      </c>
      <c r="C113" s="6">
        <v>512</v>
      </c>
      <c r="D113" s="6">
        <v>407</v>
      </c>
      <c r="E113" s="6">
        <v>2022</v>
      </c>
      <c r="F113" s="6">
        <v>2190</v>
      </c>
      <c r="G113" s="7">
        <f t="shared" si="5"/>
        <v>-0.205078125</v>
      </c>
      <c r="H113" s="13">
        <f t="shared" si="6"/>
        <v>6.2058646838126109E-3</v>
      </c>
      <c r="I113" s="7">
        <f t="shared" si="7"/>
        <v>8.308605341246289E-2</v>
      </c>
      <c r="J113" s="22">
        <v>0.442</v>
      </c>
      <c r="K113" s="20">
        <f t="shared" si="8"/>
        <v>-4.7507389956181825E-2</v>
      </c>
      <c r="L113" s="7">
        <f t="shared" si="9"/>
        <v>4.7507389956181825E-2</v>
      </c>
    </row>
    <row r="114" spans="2:12" x14ac:dyDescent="0.25">
      <c r="B114" s="5">
        <v>1096</v>
      </c>
      <c r="C114" s="6">
        <v>312</v>
      </c>
      <c r="D114" s="6">
        <v>244</v>
      </c>
      <c r="E114" s="6">
        <v>1220</v>
      </c>
      <c r="F114" s="6">
        <v>1314</v>
      </c>
      <c r="G114" s="7">
        <f t="shared" si="5"/>
        <v>-0.21794871794871795</v>
      </c>
      <c r="H114" s="13">
        <f t="shared" si="6"/>
        <v>3.7235188102875665E-3</v>
      </c>
      <c r="I114" s="7">
        <f t="shared" si="7"/>
        <v>7.7049180327868783E-2</v>
      </c>
      <c r="J114" s="22">
        <v>0.5</v>
      </c>
      <c r="K114" s="20">
        <f t="shared" si="8"/>
        <v>-4.7505784914900762E-2</v>
      </c>
      <c r="L114" s="7">
        <f t="shared" si="9"/>
        <v>4.7505784914900762E-2</v>
      </c>
    </row>
    <row r="115" spans="2:12" x14ac:dyDescent="0.25">
      <c r="B115" s="5">
        <v>1233</v>
      </c>
      <c r="C115" s="6">
        <v>1697</v>
      </c>
      <c r="D115" s="6">
        <v>1318</v>
      </c>
      <c r="E115" s="6">
        <v>8015</v>
      </c>
      <c r="F115" s="6">
        <v>9556</v>
      </c>
      <c r="G115" s="7">
        <f t="shared" si="5"/>
        <v>-0.22333529758397175</v>
      </c>
      <c r="H115" s="13">
        <f t="shared" si="6"/>
        <v>2.7079106355485532E-2</v>
      </c>
      <c r="I115" s="7">
        <f t="shared" si="7"/>
        <v>0.19226450405489715</v>
      </c>
      <c r="J115" s="22">
        <v>0.42280000000000001</v>
      </c>
      <c r="K115" s="20">
        <f t="shared" si="8"/>
        <v>-4.7292862191570487E-2</v>
      </c>
      <c r="L115" s="7">
        <f t="shared" si="9"/>
        <v>4.7292862191570487E-2</v>
      </c>
    </row>
    <row r="116" spans="2:12" x14ac:dyDescent="0.25">
      <c r="B116" s="2">
        <v>1024</v>
      </c>
      <c r="C116" s="3">
        <v>104</v>
      </c>
      <c r="D116" s="3">
        <v>78</v>
      </c>
      <c r="E116" s="3">
        <v>394</v>
      </c>
      <c r="F116" s="3">
        <v>431</v>
      </c>
      <c r="G116" s="4">
        <f t="shared" si="5"/>
        <v>-0.25</v>
      </c>
      <c r="H116" s="13">
        <f t="shared" si="6"/>
        <v>1.2213368395996508E-3</v>
      </c>
      <c r="I116" s="4">
        <f t="shared" si="7"/>
        <v>9.3908629441624258E-2</v>
      </c>
      <c r="J116" s="21">
        <v>0.624</v>
      </c>
      <c r="K116" s="20">
        <f t="shared" si="8"/>
        <v>-4.6825936529897624E-2</v>
      </c>
      <c r="L116" s="7">
        <f t="shared" si="9"/>
        <v>4.6825936529897624E-2</v>
      </c>
    </row>
    <row r="117" spans="2:12" x14ac:dyDescent="0.25">
      <c r="B117" s="5">
        <v>1104</v>
      </c>
      <c r="C117" s="6">
        <v>299</v>
      </c>
      <c r="D117" s="6">
        <v>241</v>
      </c>
      <c r="E117" s="6">
        <v>1560</v>
      </c>
      <c r="F117" s="6">
        <v>1712</v>
      </c>
      <c r="G117" s="7">
        <f t="shared" si="5"/>
        <v>-0.19397993311036787</v>
      </c>
      <c r="H117" s="13">
        <f t="shared" si="6"/>
        <v>4.8513426204051099E-3</v>
      </c>
      <c r="I117" s="7">
        <f t="shared" si="7"/>
        <v>9.7435897435897534E-2</v>
      </c>
      <c r="J117" s="22">
        <v>0.4133</v>
      </c>
      <c r="K117" s="20">
        <f t="shared" si="8"/>
        <v>-4.3921668729570207E-2</v>
      </c>
      <c r="L117" s="7">
        <f t="shared" si="9"/>
        <v>4.3921668729570207E-2</v>
      </c>
    </row>
    <row r="118" spans="2:12" x14ac:dyDescent="0.25">
      <c r="B118" s="5">
        <v>974</v>
      </c>
      <c r="C118" s="6">
        <v>127</v>
      </c>
      <c r="D118" s="6">
        <v>99</v>
      </c>
      <c r="E118" s="6">
        <v>476</v>
      </c>
      <c r="F118" s="6">
        <v>530</v>
      </c>
      <c r="G118" s="7">
        <f t="shared" si="5"/>
        <v>-0.22047244094488194</v>
      </c>
      <c r="H118" s="13">
        <f t="shared" si="6"/>
        <v>1.5018759280459744E-3</v>
      </c>
      <c r="I118" s="7">
        <f t="shared" si="7"/>
        <v>0.11344537815126055</v>
      </c>
      <c r="J118" s="22">
        <v>0.51219999999999999</v>
      </c>
      <c r="K118" s="20">
        <f t="shared" si="8"/>
        <v>-4.388364536259623E-2</v>
      </c>
      <c r="L118" s="7">
        <f t="shared" si="9"/>
        <v>4.388364536259623E-2</v>
      </c>
    </row>
    <row r="119" spans="2:12" x14ac:dyDescent="0.25">
      <c r="B119" s="5">
        <v>1236</v>
      </c>
      <c r="C119" s="6">
        <v>443</v>
      </c>
      <c r="D119" s="6">
        <v>365</v>
      </c>
      <c r="E119" s="6">
        <v>2799</v>
      </c>
      <c r="F119" s="6">
        <v>3128</v>
      </c>
      <c r="G119" s="7">
        <f t="shared" si="5"/>
        <v>-0.17607223476297973</v>
      </c>
      <c r="H119" s="13">
        <f t="shared" si="6"/>
        <v>8.8639017036373727E-3</v>
      </c>
      <c r="I119" s="7">
        <f t="shared" si="7"/>
        <v>0.11754197927831367</v>
      </c>
      <c r="J119" s="22">
        <v>0.32679999999999998</v>
      </c>
      <c r="K119" s="20">
        <f t="shared" si="8"/>
        <v>-4.3539557674410853E-2</v>
      </c>
      <c r="L119" s="7">
        <f t="shared" si="9"/>
        <v>4.3539557674410853E-2</v>
      </c>
    </row>
    <row r="120" spans="2:12" x14ac:dyDescent="0.25">
      <c r="B120" s="5">
        <v>1091</v>
      </c>
      <c r="C120" s="6">
        <v>141</v>
      </c>
      <c r="D120" s="6">
        <v>108</v>
      </c>
      <c r="E120" s="6">
        <v>613</v>
      </c>
      <c r="F120" s="6">
        <v>655</v>
      </c>
      <c r="G120" s="7">
        <f t="shared" si="5"/>
        <v>-0.23404255319148937</v>
      </c>
      <c r="H120" s="13">
        <f t="shared" si="6"/>
        <v>1.8560919488115344E-3</v>
      </c>
      <c r="I120" s="7">
        <f t="shared" si="7"/>
        <v>6.8515497553018001E-2</v>
      </c>
      <c r="J120" s="22">
        <v>0.60159999999999991</v>
      </c>
      <c r="K120" s="20">
        <f t="shared" si="8"/>
        <v>-4.3055568367270092E-2</v>
      </c>
      <c r="L120" s="7">
        <f t="shared" si="9"/>
        <v>4.3055568367270092E-2</v>
      </c>
    </row>
    <row r="121" spans="2:12" x14ac:dyDescent="0.25">
      <c r="B121" s="5">
        <v>1041</v>
      </c>
      <c r="C121" s="6">
        <v>156</v>
      </c>
      <c r="D121" s="6">
        <v>121</v>
      </c>
      <c r="E121" s="6">
        <v>763</v>
      </c>
      <c r="F121" s="6">
        <v>864</v>
      </c>
      <c r="G121" s="7">
        <f t="shared" si="5"/>
        <v>-0.22435897435897434</v>
      </c>
      <c r="H121" s="13">
        <f t="shared" si="6"/>
        <v>2.4483411355315505E-3</v>
      </c>
      <c r="I121" s="7">
        <f t="shared" si="7"/>
        <v>0.13237221494102225</v>
      </c>
      <c r="J121" s="22">
        <v>0.52039999999999997</v>
      </c>
      <c r="K121" s="20">
        <f t="shared" si="8"/>
        <v>-4.2950911950952658E-2</v>
      </c>
      <c r="L121" s="7">
        <f t="shared" si="9"/>
        <v>4.2950911950952658E-2</v>
      </c>
    </row>
    <row r="122" spans="2:12" x14ac:dyDescent="0.25">
      <c r="B122" s="5">
        <v>1029</v>
      </c>
      <c r="C122" s="6">
        <v>132</v>
      </c>
      <c r="D122" s="6">
        <v>102</v>
      </c>
      <c r="E122" s="6">
        <v>638</v>
      </c>
      <c r="F122" s="6">
        <v>687</v>
      </c>
      <c r="G122" s="7">
        <f t="shared" si="5"/>
        <v>-0.22727272727272729</v>
      </c>
      <c r="H122" s="13">
        <f t="shared" si="6"/>
        <v>1.9467712501275178E-3</v>
      </c>
      <c r="I122" s="7">
        <f t="shared" si="7"/>
        <v>7.6802507836990497E-2</v>
      </c>
      <c r="J122" s="22">
        <v>0.57340000000000002</v>
      </c>
      <c r="K122" s="20">
        <f t="shared" si="8"/>
        <v>-4.2381369892418197E-2</v>
      </c>
      <c r="L122" s="7">
        <f t="shared" si="9"/>
        <v>4.2381369892418197E-2</v>
      </c>
    </row>
    <row r="123" spans="2:12" x14ac:dyDescent="0.25">
      <c r="B123" s="2">
        <v>1181</v>
      </c>
      <c r="C123" s="3">
        <v>195</v>
      </c>
      <c r="D123" s="3">
        <v>143</v>
      </c>
      <c r="E123" s="3">
        <v>877</v>
      </c>
      <c r="F123" s="3">
        <v>962</v>
      </c>
      <c r="G123" s="4">
        <f t="shared" si="5"/>
        <v>-0.26666666666666672</v>
      </c>
      <c r="H123" s="13">
        <f t="shared" si="6"/>
        <v>2.7260464958117499E-3</v>
      </c>
      <c r="I123" s="4">
        <f t="shared" si="7"/>
        <v>9.6921322690991962E-2</v>
      </c>
      <c r="J123" s="21">
        <v>0.72</v>
      </c>
      <c r="K123" s="20">
        <f t="shared" si="8"/>
        <v>-4.1898960756529061E-2</v>
      </c>
      <c r="L123" s="7">
        <f t="shared" si="9"/>
        <v>4.1898960756529061E-2</v>
      </c>
    </row>
    <row r="124" spans="2:12" x14ac:dyDescent="0.25">
      <c r="B124" s="5">
        <v>1042</v>
      </c>
      <c r="C124" s="6">
        <v>119</v>
      </c>
      <c r="D124" s="6">
        <v>90</v>
      </c>
      <c r="E124" s="6">
        <v>491</v>
      </c>
      <c r="F124" s="6">
        <v>530</v>
      </c>
      <c r="G124" s="7">
        <f t="shared" si="5"/>
        <v>-0.24369747899159666</v>
      </c>
      <c r="H124" s="13">
        <f t="shared" si="6"/>
        <v>1.5018759280459744E-3</v>
      </c>
      <c r="I124" s="7">
        <f t="shared" si="7"/>
        <v>7.9429735234215926E-2</v>
      </c>
      <c r="J124" s="22">
        <v>0.64690000000000003</v>
      </c>
      <c r="K124" s="20">
        <f t="shared" si="8"/>
        <v>-4.1015232482329508E-2</v>
      </c>
      <c r="L124" s="7">
        <f t="shared" si="9"/>
        <v>4.1015232482329508E-2</v>
      </c>
    </row>
    <row r="125" spans="2:12" x14ac:dyDescent="0.25">
      <c r="B125" s="5">
        <v>1270</v>
      </c>
      <c r="C125" s="6">
        <v>724</v>
      </c>
      <c r="D125" s="6">
        <v>582</v>
      </c>
      <c r="E125" s="6">
        <v>4047</v>
      </c>
      <c r="F125" s="6">
        <v>4710</v>
      </c>
      <c r="G125" s="7">
        <f t="shared" si="5"/>
        <v>-0.19613259668508287</v>
      </c>
      <c r="H125" s="13">
        <f t="shared" si="6"/>
        <v>1.33468596624463E-2</v>
      </c>
      <c r="I125" s="7">
        <f t="shared" si="7"/>
        <v>0.16382505559673843</v>
      </c>
      <c r="J125" s="22">
        <v>0.39840000000000003</v>
      </c>
      <c r="K125" s="20">
        <f t="shared" si="8"/>
        <v>-3.953502350200893E-2</v>
      </c>
      <c r="L125" s="7">
        <f t="shared" si="9"/>
        <v>3.953502350200893E-2</v>
      </c>
    </row>
    <row r="126" spans="2:12" x14ac:dyDescent="0.25">
      <c r="B126" s="5">
        <v>1084</v>
      </c>
      <c r="C126" s="6">
        <v>297</v>
      </c>
      <c r="D126" s="6">
        <v>236</v>
      </c>
      <c r="E126" s="6">
        <v>1208</v>
      </c>
      <c r="F126" s="6">
        <v>1294</v>
      </c>
      <c r="G126" s="7">
        <f t="shared" si="5"/>
        <v>-0.20538720538720534</v>
      </c>
      <c r="H126" s="13">
        <f t="shared" si="6"/>
        <v>3.6668442469650771E-3</v>
      </c>
      <c r="I126" s="7">
        <f t="shared" si="7"/>
        <v>7.1192052980132425E-2</v>
      </c>
      <c r="J126" s="22">
        <v>0.51400000000000001</v>
      </c>
      <c r="K126" s="20">
        <f t="shared" si="8"/>
        <v>-3.8463091297265189E-2</v>
      </c>
      <c r="L126" s="7">
        <f t="shared" si="9"/>
        <v>3.8463091297265189E-2</v>
      </c>
    </row>
    <row r="127" spans="2:12" x14ac:dyDescent="0.25">
      <c r="B127" s="5">
        <v>1063</v>
      </c>
      <c r="C127" s="6">
        <v>266</v>
      </c>
      <c r="D127" s="6">
        <v>218</v>
      </c>
      <c r="E127" s="6">
        <v>1242</v>
      </c>
      <c r="F127" s="6">
        <v>1323</v>
      </c>
      <c r="G127" s="7">
        <f t="shared" si="5"/>
        <v>-0.18045112781954886</v>
      </c>
      <c r="H127" s="13">
        <f t="shared" si="6"/>
        <v>3.749022363782687E-3</v>
      </c>
      <c r="I127" s="7">
        <f t="shared" si="7"/>
        <v>6.5217391304347894E-2</v>
      </c>
      <c r="J127" s="22">
        <v>0.42799999999999999</v>
      </c>
      <c r="K127" s="20">
        <f t="shared" si="8"/>
        <v>-3.6986584206727124E-2</v>
      </c>
      <c r="L127" s="7">
        <f t="shared" si="9"/>
        <v>3.6986584206727124E-2</v>
      </c>
    </row>
    <row r="128" spans="2:12" x14ac:dyDescent="0.25">
      <c r="B128" s="5">
        <v>979</v>
      </c>
      <c r="C128" s="6">
        <v>238</v>
      </c>
      <c r="D128" s="6">
        <v>199</v>
      </c>
      <c r="E128" s="6">
        <v>1232</v>
      </c>
      <c r="F128" s="6">
        <v>1317</v>
      </c>
      <c r="G128" s="7">
        <f t="shared" si="5"/>
        <v>-0.16386554621848737</v>
      </c>
      <c r="H128" s="13">
        <f t="shared" si="6"/>
        <v>3.7320199947859403E-3</v>
      </c>
      <c r="I128" s="7">
        <f t="shared" si="7"/>
        <v>6.8993506493506551E-2</v>
      </c>
      <c r="J128" s="22">
        <v>0.36700000000000005</v>
      </c>
      <c r="K128" s="20">
        <f t="shared" si="8"/>
        <v>-3.581017408252387E-2</v>
      </c>
      <c r="L128" s="7">
        <f t="shared" si="9"/>
        <v>3.581017408252387E-2</v>
      </c>
    </row>
    <row r="129" spans="2:12" x14ac:dyDescent="0.25">
      <c r="B129" s="5">
        <v>1168</v>
      </c>
      <c r="C129" s="6">
        <v>283</v>
      </c>
      <c r="D129" s="6">
        <v>221</v>
      </c>
      <c r="E129" s="6">
        <v>1005</v>
      </c>
      <c r="F129" s="6">
        <v>1065</v>
      </c>
      <c r="G129" s="7">
        <f t="shared" si="5"/>
        <v>-0.21908127208480566</v>
      </c>
      <c r="H129" s="13">
        <f t="shared" si="6"/>
        <v>3.0179204969225711E-3</v>
      </c>
      <c r="I129" s="7">
        <f t="shared" si="7"/>
        <v>5.9701492537313383E-2</v>
      </c>
      <c r="J129" s="22">
        <v>0.60509999999999997</v>
      </c>
      <c r="K129" s="20">
        <f t="shared" si="8"/>
        <v>-3.4260925922613664E-2</v>
      </c>
      <c r="L129" s="7">
        <f t="shared" si="9"/>
        <v>3.4260925922613664E-2</v>
      </c>
    </row>
    <row r="130" spans="2:12" x14ac:dyDescent="0.25">
      <c r="B130" s="5">
        <v>1206</v>
      </c>
      <c r="C130" s="6">
        <v>604</v>
      </c>
      <c r="D130" s="6">
        <v>472</v>
      </c>
      <c r="E130" s="6">
        <v>2496</v>
      </c>
      <c r="F130" s="6">
        <v>2699</v>
      </c>
      <c r="G130" s="7">
        <f t="shared" si="5"/>
        <v>-0.2185430463576159</v>
      </c>
      <c r="H130" s="13">
        <f t="shared" si="6"/>
        <v>7.6482323203699715E-3</v>
      </c>
      <c r="I130" s="7">
        <f t="shared" si="7"/>
        <v>8.1330128205128194E-2</v>
      </c>
      <c r="J130" s="22">
        <v>0.58960000000000001</v>
      </c>
      <c r="K130" s="20">
        <f t="shared" si="8"/>
        <v>-3.3405580146001215E-2</v>
      </c>
      <c r="L130" s="7">
        <f t="shared" si="9"/>
        <v>3.3405580146001215E-2</v>
      </c>
    </row>
    <row r="131" spans="2:12" x14ac:dyDescent="0.25">
      <c r="B131" s="5">
        <v>967</v>
      </c>
      <c r="C131" s="6">
        <v>230</v>
      </c>
      <c r="D131" s="6">
        <v>183</v>
      </c>
      <c r="E131" s="6">
        <v>954</v>
      </c>
      <c r="F131" s="6">
        <v>1046</v>
      </c>
      <c r="G131" s="7">
        <f t="shared" ref="G131:G194" si="10">(D131/C131)-1</f>
        <v>-0.20434782608695656</v>
      </c>
      <c r="H131" s="13">
        <f t="shared" ref="H131:H194" si="11">F131/$F$225</f>
        <v>2.9640796617662062E-3</v>
      </c>
      <c r="I131" s="7">
        <f t="shared" ref="I131:I194" si="12">(F131/E131-1)</f>
        <v>9.6436058700209548E-2</v>
      </c>
      <c r="J131" s="22">
        <v>0.52800000000000002</v>
      </c>
      <c r="K131" s="20">
        <f t="shared" ref="K131:K194" si="13">(G131*0.6)+(H131*0.15)+(I131*0.1)+(J131*0.15)</f>
        <v>-3.3320477832888037E-2</v>
      </c>
      <c r="L131" s="7">
        <f t="shared" si="9"/>
        <v>3.3320477832888037E-2</v>
      </c>
    </row>
    <row r="132" spans="2:12" x14ac:dyDescent="0.25">
      <c r="B132" s="5">
        <v>993</v>
      </c>
      <c r="C132" s="6">
        <v>138</v>
      </c>
      <c r="D132" s="6">
        <v>112</v>
      </c>
      <c r="E132" s="6">
        <v>592</v>
      </c>
      <c r="F132" s="6">
        <v>643</v>
      </c>
      <c r="G132" s="7">
        <f t="shared" si="10"/>
        <v>-0.18840579710144922</v>
      </c>
      <c r="H132" s="13">
        <f t="shared" si="11"/>
        <v>1.8220872108180406E-3</v>
      </c>
      <c r="I132" s="7">
        <f t="shared" si="12"/>
        <v>8.6148648648648685E-2</v>
      </c>
      <c r="J132" s="22">
        <v>0.47259999999999996</v>
      </c>
      <c r="K132" s="20">
        <f t="shared" si="13"/>
        <v>-3.3265300314381949E-2</v>
      </c>
      <c r="L132" s="7">
        <f t="shared" ref="L132:L195" si="14">K132*-1</f>
        <v>3.3265300314381949E-2</v>
      </c>
    </row>
    <row r="133" spans="2:12" x14ac:dyDescent="0.25">
      <c r="B133" s="5">
        <v>1162</v>
      </c>
      <c r="C133" s="6">
        <v>291</v>
      </c>
      <c r="D133" s="6">
        <v>224</v>
      </c>
      <c r="E133" s="6">
        <v>948</v>
      </c>
      <c r="F133" s="6">
        <v>1043</v>
      </c>
      <c r="G133" s="7">
        <f t="shared" si="10"/>
        <v>-0.23024054982817865</v>
      </c>
      <c r="H133" s="13">
        <f t="shared" si="11"/>
        <v>2.9555784772678328E-3</v>
      </c>
      <c r="I133" s="7">
        <f t="shared" si="12"/>
        <v>0.10021097046413496</v>
      </c>
      <c r="J133" s="22">
        <v>0.63340000000000007</v>
      </c>
      <c r="K133" s="20">
        <f t="shared" si="13"/>
        <v>-3.2669896078903526E-2</v>
      </c>
      <c r="L133" s="7">
        <f t="shared" si="14"/>
        <v>3.2669896078903526E-2</v>
      </c>
    </row>
    <row r="134" spans="2:12" x14ac:dyDescent="0.25">
      <c r="B134" s="5">
        <v>1165</v>
      </c>
      <c r="C134" s="6">
        <v>379</v>
      </c>
      <c r="D134" s="6">
        <v>301</v>
      </c>
      <c r="E134" s="6">
        <v>1414</v>
      </c>
      <c r="F134" s="6">
        <v>1465</v>
      </c>
      <c r="G134" s="7">
        <f t="shared" si="10"/>
        <v>-0.20580474934036941</v>
      </c>
      <c r="H134" s="13">
        <f t="shared" si="11"/>
        <v>4.1514117633723634E-3</v>
      </c>
      <c r="I134" s="7">
        <f t="shared" si="12"/>
        <v>3.6067892503536036E-2</v>
      </c>
      <c r="J134" s="22">
        <v>0.58700000000000008</v>
      </c>
      <c r="K134" s="20">
        <f t="shared" si="13"/>
        <v>-3.1203348589362176E-2</v>
      </c>
      <c r="L134" s="7">
        <f t="shared" si="14"/>
        <v>3.1203348589362176E-2</v>
      </c>
    </row>
    <row r="135" spans="2:12" x14ac:dyDescent="0.25">
      <c r="B135" s="5">
        <v>1099</v>
      </c>
      <c r="C135" s="6">
        <v>340</v>
      </c>
      <c r="D135" s="6">
        <v>282</v>
      </c>
      <c r="E135" s="6">
        <v>1845</v>
      </c>
      <c r="F135" s="6">
        <v>2041</v>
      </c>
      <c r="G135" s="7">
        <f t="shared" si="10"/>
        <v>-0.1705882352941176</v>
      </c>
      <c r="H135" s="13">
        <f t="shared" si="11"/>
        <v>5.7836391870600638E-3</v>
      </c>
      <c r="I135" s="7">
        <f t="shared" si="12"/>
        <v>0.10623306233062335</v>
      </c>
      <c r="J135" s="22">
        <v>0.41020000000000001</v>
      </c>
      <c r="K135" s="20">
        <f t="shared" si="13"/>
        <v>-2.9332089065349204E-2</v>
      </c>
      <c r="L135" s="7">
        <f t="shared" si="14"/>
        <v>2.9332089065349204E-2</v>
      </c>
    </row>
    <row r="136" spans="2:12" x14ac:dyDescent="0.25">
      <c r="B136" s="5">
        <v>1094</v>
      </c>
      <c r="C136" s="6">
        <v>221</v>
      </c>
      <c r="D136" s="6">
        <v>178</v>
      </c>
      <c r="E136" s="6">
        <v>1014</v>
      </c>
      <c r="F136" s="6">
        <v>1140</v>
      </c>
      <c r="G136" s="7">
        <f t="shared" si="10"/>
        <v>-0.19457013574660631</v>
      </c>
      <c r="H136" s="13">
        <f t="shared" si="11"/>
        <v>3.2304501093819073E-3</v>
      </c>
      <c r="I136" s="7">
        <f t="shared" si="12"/>
        <v>0.12426035502958577</v>
      </c>
      <c r="J136" s="22">
        <v>0.5</v>
      </c>
      <c r="K136" s="20">
        <f t="shared" si="13"/>
        <v>-2.8831478428597915E-2</v>
      </c>
      <c r="L136" s="7">
        <f t="shared" si="14"/>
        <v>2.8831478428597915E-2</v>
      </c>
    </row>
    <row r="137" spans="2:12" x14ac:dyDescent="0.25">
      <c r="B137" s="5">
        <v>986</v>
      </c>
      <c r="C137" s="6">
        <v>168</v>
      </c>
      <c r="D137" s="6">
        <v>136</v>
      </c>
      <c r="E137" s="6">
        <v>791</v>
      </c>
      <c r="F137" s="6">
        <v>933</v>
      </c>
      <c r="G137" s="7">
        <f t="shared" si="10"/>
        <v>-0.19047619047619047</v>
      </c>
      <c r="H137" s="13">
        <f t="shared" si="11"/>
        <v>2.6438683789941401E-3</v>
      </c>
      <c r="I137" s="7">
        <f t="shared" si="12"/>
        <v>0.17951959544879892</v>
      </c>
      <c r="J137" s="22">
        <v>0.44780000000000003</v>
      </c>
      <c r="K137" s="20">
        <f t="shared" si="13"/>
        <v>-2.8767174483985247E-2</v>
      </c>
      <c r="L137" s="7">
        <f t="shared" si="14"/>
        <v>2.8767174483985247E-2</v>
      </c>
    </row>
    <row r="138" spans="2:12" x14ac:dyDescent="0.25">
      <c r="B138" s="5">
        <v>1172</v>
      </c>
      <c r="C138" s="6">
        <v>222</v>
      </c>
      <c r="D138" s="6">
        <v>175</v>
      </c>
      <c r="E138" s="6">
        <v>1060</v>
      </c>
      <c r="F138" s="6">
        <v>1125</v>
      </c>
      <c r="G138" s="7">
        <f t="shared" si="10"/>
        <v>-0.21171171171171166</v>
      </c>
      <c r="H138" s="13">
        <f t="shared" si="11"/>
        <v>3.1879441868900402E-3</v>
      </c>
      <c r="I138" s="7">
        <f t="shared" si="12"/>
        <v>6.1320754716981174E-2</v>
      </c>
      <c r="J138" s="22">
        <v>0.61149999999999993</v>
      </c>
      <c r="K138" s="20">
        <f t="shared" si="13"/>
        <v>-2.8691759927295377E-2</v>
      </c>
      <c r="L138" s="7">
        <f t="shared" si="14"/>
        <v>2.8691759927295377E-2</v>
      </c>
    </row>
    <row r="139" spans="2:12" x14ac:dyDescent="0.25">
      <c r="B139" s="5">
        <v>1105</v>
      </c>
      <c r="C139" s="6">
        <v>276</v>
      </c>
      <c r="D139" s="6">
        <v>221</v>
      </c>
      <c r="E139" s="6">
        <v>1537</v>
      </c>
      <c r="F139" s="6">
        <v>1724</v>
      </c>
      <c r="G139" s="7">
        <f t="shared" si="10"/>
        <v>-0.19927536231884058</v>
      </c>
      <c r="H139" s="13">
        <f t="shared" si="11"/>
        <v>4.8853473583986033E-3</v>
      </c>
      <c r="I139" s="7">
        <f t="shared" si="12"/>
        <v>0.12166558230318802</v>
      </c>
      <c r="J139" s="22">
        <v>0.52810000000000001</v>
      </c>
      <c r="K139" s="20">
        <f t="shared" si="13"/>
        <v>-2.7450857057225747E-2</v>
      </c>
      <c r="L139" s="7">
        <f t="shared" si="14"/>
        <v>2.7450857057225747E-2</v>
      </c>
    </row>
    <row r="140" spans="2:12" x14ac:dyDescent="0.25">
      <c r="B140" s="5">
        <v>1107</v>
      </c>
      <c r="C140" s="6">
        <v>1737</v>
      </c>
      <c r="D140" s="6">
        <v>1324</v>
      </c>
      <c r="E140" s="6">
        <v>10024</v>
      </c>
      <c r="F140" s="6">
        <v>12510</v>
      </c>
      <c r="G140" s="7">
        <f t="shared" si="10"/>
        <v>-0.23776626367299947</v>
      </c>
      <c r="H140" s="13">
        <f t="shared" si="11"/>
        <v>3.5449939358217247E-2</v>
      </c>
      <c r="I140" s="7">
        <f t="shared" si="12"/>
        <v>0.24800478850758179</v>
      </c>
      <c r="J140" s="22">
        <v>0.57069999999999999</v>
      </c>
      <c r="K140" s="20">
        <f t="shared" si="13"/>
        <v>-2.6936788449308899E-2</v>
      </c>
      <c r="L140" s="7">
        <f t="shared" si="14"/>
        <v>2.6936788449308899E-2</v>
      </c>
    </row>
    <row r="141" spans="2:12" x14ac:dyDescent="0.25">
      <c r="B141" s="5">
        <v>1158</v>
      </c>
      <c r="C141" s="6">
        <v>680</v>
      </c>
      <c r="D141" s="6">
        <v>532</v>
      </c>
      <c r="E141" s="6">
        <v>2490</v>
      </c>
      <c r="F141" s="6">
        <v>2739</v>
      </c>
      <c r="G141" s="7">
        <f t="shared" si="10"/>
        <v>-0.21764705882352942</v>
      </c>
      <c r="H141" s="13">
        <f t="shared" si="11"/>
        <v>7.7615814470149511E-3</v>
      </c>
      <c r="I141" s="7">
        <f t="shared" si="12"/>
        <v>0.10000000000000009</v>
      </c>
      <c r="J141" s="22">
        <v>0.62</v>
      </c>
      <c r="K141" s="20">
        <f t="shared" si="13"/>
        <v>-2.6423998077065386E-2</v>
      </c>
      <c r="L141" s="7">
        <f t="shared" si="14"/>
        <v>2.6423998077065386E-2</v>
      </c>
    </row>
    <row r="142" spans="2:12" x14ac:dyDescent="0.25">
      <c r="B142" s="5">
        <v>1116</v>
      </c>
      <c r="C142" s="6">
        <v>150</v>
      </c>
      <c r="D142" s="6">
        <v>116</v>
      </c>
      <c r="E142" s="6">
        <v>879</v>
      </c>
      <c r="F142" s="6">
        <v>942</v>
      </c>
      <c r="G142" s="7">
        <f t="shared" si="10"/>
        <v>-0.22666666666666668</v>
      </c>
      <c r="H142" s="13">
        <f t="shared" si="11"/>
        <v>2.6693719324892601E-3</v>
      </c>
      <c r="I142" s="7">
        <f t="shared" si="12"/>
        <v>7.1672354948805417E-2</v>
      </c>
      <c r="J142" s="22">
        <v>0.69370000000000009</v>
      </c>
      <c r="K142" s="20">
        <f t="shared" si="13"/>
        <v>-2.4377358715246072E-2</v>
      </c>
      <c r="L142" s="7">
        <f t="shared" si="14"/>
        <v>2.4377358715246072E-2</v>
      </c>
    </row>
    <row r="143" spans="2:12" x14ac:dyDescent="0.25">
      <c r="B143" s="5">
        <v>971</v>
      </c>
      <c r="C143" s="6">
        <v>122</v>
      </c>
      <c r="D143" s="6">
        <v>102</v>
      </c>
      <c r="E143" s="6">
        <v>562</v>
      </c>
      <c r="F143" s="6">
        <v>600</v>
      </c>
      <c r="G143" s="7">
        <f t="shared" si="10"/>
        <v>-0.16393442622950816</v>
      </c>
      <c r="H143" s="13">
        <f t="shared" si="11"/>
        <v>1.700236899674688E-3</v>
      </c>
      <c r="I143" s="7">
        <f t="shared" si="12"/>
        <v>6.7615658362989217E-2</v>
      </c>
      <c r="J143" s="22">
        <v>0.46429999999999999</v>
      </c>
      <c r="K143" s="20">
        <f t="shared" si="13"/>
        <v>-2.1699054366454765E-2</v>
      </c>
      <c r="L143" s="7">
        <f t="shared" si="14"/>
        <v>2.1699054366454765E-2</v>
      </c>
    </row>
    <row r="144" spans="2:12" x14ac:dyDescent="0.25">
      <c r="B144" s="5">
        <v>2703</v>
      </c>
      <c r="C144" s="6">
        <v>1140</v>
      </c>
      <c r="D144" s="6">
        <v>945</v>
      </c>
      <c r="E144" s="6">
        <v>5261</v>
      </c>
      <c r="F144" s="6">
        <v>6508</v>
      </c>
      <c r="G144" s="7">
        <f t="shared" si="10"/>
        <v>-0.17105263157894735</v>
      </c>
      <c r="H144" s="13">
        <f t="shared" si="11"/>
        <v>1.8441902905138117E-2</v>
      </c>
      <c r="I144" s="7">
        <f t="shared" si="12"/>
        <v>0.23702718114426924</v>
      </c>
      <c r="J144" s="22">
        <v>0.36380000000000001</v>
      </c>
      <c r="K144" s="20">
        <f t="shared" si="13"/>
        <v>-2.1592575397170764E-2</v>
      </c>
      <c r="L144" s="7">
        <f t="shared" si="14"/>
        <v>2.1592575397170764E-2</v>
      </c>
    </row>
    <row r="145" spans="2:12" x14ac:dyDescent="0.25">
      <c r="B145" s="5">
        <v>1195</v>
      </c>
      <c r="C145" s="6">
        <v>470</v>
      </c>
      <c r="D145" s="6">
        <v>387</v>
      </c>
      <c r="E145" s="6">
        <v>1837</v>
      </c>
      <c r="F145" s="6">
        <v>1989</v>
      </c>
      <c r="G145" s="7">
        <f t="shared" si="10"/>
        <v>-0.17659574468085104</v>
      </c>
      <c r="H145" s="13">
        <f t="shared" si="11"/>
        <v>5.6362853224215907E-3</v>
      </c>
      <c r="I145" s="7">
        <f t="shared" si="12"/>
        <v>8.274360370168754E-2</v>
      </c>
      <c r="J145" s="22">
        <v>0.51419999999999999</v>
      </c>
      <c r="K145" s="20">
        <f t="shared" si="13"/>
        <v>-1.9707643639978636E-2</v>
      </c>
      <c r="L145" s="7">
        <f t="shared" si="14"/>
        <v>1.9707643639978636E-2</v>
      </c>
    </row>
    <row r="146" spans="2:12" x14ac:dyDescent="0.25">
      <c r="B146" s="5">
        <v>1133</v>
      </c>
      <c r="C146" s="6">
        <v>213</v>
      </c>
      <c r="D146" s="6">
        <v>175</v>
      </c>
      <c r="E146" s="6">
        <v>892</v>
      </c>
      <c r="F146" s="6">
        <v>959</v>
      </c>
      <c r="G146" s="7">
        <f t="shared" si="10"/>
        <v>-0.17840375586854462</v>
      </c>
      <c r="H146" s="13">
        <f t="shared" si="11"/>
        <v>2.7175453113133761E-3</v>
      </c>
      <c r="I146" s="7">
        <f t="shared" si="12"/>
        <v>7.5112107623318325E-2</v>
      </c>
      <c r="J146" s="22">
        <v>0.53239999999999998</v>
      </c>
      <c r="K146" s="20">
        <f t="shared" si="13"/>
        <v>-1.9263410962097938E-2</v>
      </c>
      <c r="L146" s="7">
        <f t="shared" si="14"/>
        <v>1.9263410962097938E-2</v>
      </c>
    </row>
    <row r="147" spans="2:12" x14ac:dyDescent="0.25">
      <c r="B147" s="5">
        <v>1194</v>
      </c>
      <c r="C147" s="6">
        <v>1019</v>
      </c>
      <c r="D147" s="6">
        <v>865</v>
      </c>
      <c r="E147" s="6">
        <v>5194</v>
      </c>
      <c r="F147" s="6">
        <v>6040</v>
      </c>
      <c r="G147" s="7">
        <f t="shared" si="10"/>
        <v>-0.15112855740922471</v>
      </c>
      <c r="H147" s="13">
        <f t="shared" si="11"/>
        <v>1.7115718123391858E-2</v>
      </c>
      <c r="I147" s="7">
        <f t="shared" si="12"/>
        <v>0.16288024643819798</v>
      </c>
      <c r="J147" s="22">
        <v>0.35489999999999999</v>
      </c>
      <c r="K147" s="20">
        <f t="shared" si="13"/>
        <v>-1.8586752083206252E-2</v>
      </c>
      <c r="L147" s="7">
        <f t="shared" si="14"/>
        <v>1.8586752083206252E-2</v>
      </c>
    </row>
    <row r="148" spans="2:12" x14ac:dyDescent="0.25">
      <c r="B148" s="5">
        <v>995</v>
      </c>
      <c r="C148" s="6">
        <v>150</v>
      </c>
      <c r="D148" s="6">
        <v>123</v>
      </c>
      <c r="E148" s="6">
        <v>817</v>
      </c>
      <c r="F148" s="6">
        <v>866</v>
      </c>
      <c r="G148" s="7">
        <f t="shared" si="10"/>
        <v>-0.18000000000000005</v>
      </c>
      <c r="H148" s="13">
        <f t="shared" si="11"/>
        <v>2.4540085918637999E-3</v>
      </c>
      <c r="I148" s="7">
        <f t="shared" si="12"/>
        <v>5.9975520195838516E-2</v>
      </c>
      <c r="J148" s="22">
        <v>0.56110000000000004</v>
      </c>
      <c r="K148" s="20">
        <f t="shared" si="13"/>
        <v>-1.7469346691636606E-2</v>
      </c>
      <c r="L148" s="7">
        <f t="shared" si="14"/>
        <v>1.7469346691636606E-2</v>
      </c>
    </row>
    <row r="149" spans="2:12" x14ac:dyDescent="0.25">
      <c r="B149" s="5">
        <v>982</v>
      </c>
      <c r="C149" s="6">
        <v>231</v>
      </c>
      <c r="D149" s="6">
        <v>198</v>
      </c>
      <c r="E149" s="6">
        <v>1370</v>
      </c>
      <c r="F149" s="6">
        <v>1459</v>
      </c>
      <c r="G149" s="7">
        <f t="shared" si="10"/>
        <v>-0.1428571428571429</v>
      </c>
      <c r="H149" s="13">
        <f t="shared" si="11"/>
        <v>4.1344093943756167E-3</v>
      </c>
      <c r="I149" s="7">
        <f t="shared" si="12"/>
        <v>6.496350364963499E-2</v>
      </c>
      <c r="J149" s="22">
        <v>0.41909999999999997</v>
      </c>
      <c r="K149" s="20">
        <f t="shared" si="13"/>
        <v>-1.5732773940165909E-2</v>
      </c>
      <c r="L149" s="7">
        <f t="shared" si="14"/>
        <v>1.5732773940165909E-2</v>
      </c>
    </row>
    <row r="150" spans="2:12" x14ac:dyDescent="0.25">
      <c r="B150" s="5">
        <v>1124</v>
      </c>
      <c r="C150" s="6">
        <v>159</v>
      </c>
      <c r="D150" s="6">
        <v>132</v>
      </c>
      <c r="E150" s="6">
        <v>736</v>
      </c>
      <c r="F150" s="6">
        <v>790</v>
      </c>
      <c r="G150" s="7">
        <f t="shared" si="10"/>
        <v>-0.16981132075471694</v>
      </c>
      <c r="H150" s="13">
        <f t="shared" si="11"/>
        <v>2.2386452512383392E-3</v>
      </c>
      <c r="I150" s="7">
        <f t="shared" si="12"/>
        <v>7.3369565217391353E-2</v>
      </c>
      <c r="J150" s="22">
        <v>0.52400000000000002</v>
      </c>
      <c r="K150" s="20">
        <f t="shared" si="13"/>
        <v>-1.5614039143405284E-2</v>
      </c>
      <c r="L150" s="7">
        <f t="shared" si="14"/>
        <v>1.5614039143405284E-2</v>
      </c>
    </row>
    <row r="151" spans="2:12" x14ac:dyDescent="0.25">
      <c r="B151" s="5">
        <v>1189</v>
      </c>
      <c r="C151" s="6">
        <v>304</v>
      </c>
      <c r="D151" s="6">
        <v>248</v>
      </c>
      <c r="E151" s="6">
        <v>1271</v>
      </c>
      <c r="F151" s="6">
        <v>1354</v>
      </c>
      <c r="G151" s="7">
        <f t="shared" si="10"/>
        <v>-0.18421052631578949</v>
      </c>
      <c r="H151" s="13">
        <f t="shared" si="11"/>
        <v>3.8368679369325458E-3</v>
      </c>
      <c r="I151" s="7">
        <f t="shared" si="12"/>
        <v>6.5302911093626959E-2</v>
      </c>
      <c r="J151" s="22">
        <v>0.58789999999999998</v>
      </c>
      <c r="K151" s="20">
        <f t="shared" si="13"/>
        <v>-1.5235494489571122E-2</v>
      </c>
      <c r="L151" s="7">
        <f t="shared" si="14"/>
        <v>1.5235494489571122E-2</v>
      </c>
    </row>
    <row r="152" spans="2:12" x14ac:dyDescent="0.25">
      <c r="B152" s="5">
        <v>1139</v>
      </c>
      <c r="C152" s="6">
        <v>229</v>
      </c>
      <c r="D152" s="6">
        <v>195</v>
      </c>
      <c r="E152" s="6">
        <v>957</v>
      </c>
      <c r="F152" s="6">
        <v>1052</v>
      </c>
      <c r="G152" s="7">
        <f t="shared" si="10"/>
        <v>-0.14847161572052403</v>
      </c>
      <c r="H152" s="13">
        <f t="shared" si="11"/>
        <v>2.9810820307629529E-3</v>
      </c>
      <c r="I152" s="7">
        <f t="shared" si="12"/>
        <v>9.9268547544409724E-2</v>
      </c>
      <c r="J152" s="22">
        <v>0.4249</v>
      </c>
      <c r="K152" s="20">
        <f t="shared" si="13"/>
        <v>-1.4973952373259006E-2</v>
      </c>
      <c r="L152" s="7">
        <f t="shared" si="14"/>
        <v>1.4973952373259006E-2</v>
      </c>
    </row>
    <row r="153" spans="2:12" x14ac:dyDescent="0.25">
      <c r="B153" s="5">
        <v>1225</v>
      </c>
      <c r="C153" s="6">
        <v>457</v>
      </c>
      <c r="D153" s="6">
        <v>369</v>
      </c>
      <c r="E153" s="6">
        <v>2336</v>
      </c>
      <c r="F153" s="6">
        <v>2509</v>
      </c>
      <c r="G153" s="7">
        <f t="shared" si="10"/>
        <v>-0.19256017505470457</v>
      </c>
      <c r="H153" s="13">
        <f t="shared" si="11"/>
        <v>7.1098239688063202E-3</v>
      </c>
      <c r="I153" s="7">
        <f t="shared" si="12"/>
        <v>7.4058219178082085E-2</v>
      </c>
      <c r="J153" s="22">
        <v>0.62319999999999998</v>
      </c>
      <c r="K153" s="20">
        <f t="shared" si="13"/>
        <v>-1.3583809519693596E-2</v>
      </c>
      <c r="L153" s="7">
        <f t="shared" si="14"/>
        <v>1.3583809519693596E-2</v>
      </c>
    </row>
    <row r="154" spans="2:12" x14ac:dyDescent="0.25">
      <c r="B154" s="5">
        <v>1110</v>
      </c>
      <c r="C154" s="6">
        <v>221</v>
      </c>
      <c r="D154" s="6">
        <v>178</v>
      </c>
      <c r="E154" s="6">
        <v>1287</v>
      </c>
      <c r="F154" s="6">
        <v>1415</v>
      </c>
      <c r="G154" s="7">
        <f t="shared" si="10"/>
        <v>-0.19457013574660631</v>
      </c>
      <c r="H154" s="13">
        <f t="shared" si="11"/>
        <v>4.0097253550661393E-3</v>
      </c>
      <c r="I154" s="7">
        <f t="shared" si="12"/>
        <v>9.9456099456099567E-2</v>
      </c>
      <c r="J154" s="22">
        <v>0.61870000000000003</v>
      </c>
      <c r="K154" s="20">
        <f t="shared" si="13"/>
        <v>-1.3390012699093901E-2</v>
      </c>
      <c r="L154" s="7">
        <f t="shared" si="14"/>
        <v>1.3390012699093901E-2</v>
      </c>
    </row>
    <row r="155" spans="2:12" x14ac:dyDescent="0.25">
      <c r="B155" s="5">
        <v>1155</v>
      </c>
      <c r="C155" s="6">
        <v>326</v>
      </c>
      <c r="D155" s="6">
        <v>262</v>
      </c>
      <c r="E155" s="6">
        <v>1030</v>
      </c>
      <c r="F155" s="6">
        <v>1101</v>
      </c>
      <c r="G155" s="7">
        <f t="shared" si="10"/>
        <v>-0.19631901840490795</v>
      </c>
      <c r="H155" s="13">
        <f t="shared" si="11"/>
        <v>3.1199347109030526E-3</v>
      </c>
      <c r="I155" s="7">
        <f t="shared" si="12"/>
        <v>6.893203883495147E-2</v>
      </c>
      <c r="J155" s="22">
        <v>0.6581999999999999</v>
      </c>
      <c r="K155" s="20">
        <f t="shared" si="13"/>
        <v>-1.1700216952814174E-2</v>
      </c>
      <c r="L155" s="7">
        <f t="shared" si="14"/>
        <v>1.1700216952814174E-2</v>
      </c>
    </row>
    <row r="156" spans="2:12" x14ac:dyDescent="0.25">
      <c r="B156" s="5">
        <v>1243</v>
      </c>
      <c r="C156" s="6">
        <v>175</v>
      </c>
      <c r="D156" s="6">
        <v>151</v>
      </c>
      <c r="E156" s="6">
        <v>960</v>
      </c>
      <c r="F156" s="6">
        <v>1119</v>
      </c>
      <c r="G156" s="7">
        <f t="shared" si="10"/>
        <v>-0.13714285714285712</v>
      </c>
      <c r="H156" s="13">
        <f t="shared" si="11"/>
        <v>3.1709418178932931E-3</v>
      </c>
      <c r="I156" s="7">
        <f t="shared" si="12"/>
        <v>0.16562499999999991</v>
      </c>
      <c r="J156" s="22">
        <v>0.36770000000000003</v>
      </c>
      <c r="K156" s="20">
        <f t="shared" si="13"/>
        <v>-1.0092573013030272E-2</v>
      </c>
      <c r="L156" s="7">
        <f t="shared" si="14"/>
        <v>1.0092573013030272E-2</v>
      </c>
    </row>
    <row r="157" spans="2:12" x14ac:dyDescent="0.25">
      <c r="B157" s="5">
        <v>1062</v>
      </c>
      <c r="C157" s="6">
        <v>217</v>
      </c>
      <c r="D157" s="6">
        <v>185</v>
      </c>
      <c r="E157" s="6">
        <v>963</v>
      </c>
      <c r="F157" s="6">
        <v>1062</v>
      </c>
      <c r="G157" s="7">
        <f t="shared" si="10"/>
        <v>-0.14746543778801846</v>
      </c>
      <c r="H157" s="13">
        <f t="shared" si="11"/>
        <v>3.0094193124241978E-3</v>
      </c>
      <c r="I157" s="7">
        <f t="shared" si="12"/>
        <v>0.10280373831775691</v>
      </c>
      <c r="J157" s="22">
        <v>0.4511</v>
      </c>
      <c r="K157" s="20">
        <f t="shared" si="13"/>
        <v>-1.0082475944171748E-2</v>
      </c>
      <c r="L157" s="7">
        <f t="shared" si="14"/>
        <v>1.0082475944171748E-2</v>
      </c>
    </row>
    <row r="158" spans="2:12" x14ac:dyDescent="0.25">
      <c r="B158" s="5">
        <v>1079</v>
      </c>
      <c r="C158" s="6">
        <v>76</v>
      </c>
      <c r="D158" s="6">
        <v>60</v>
      </c>
      <c r="E158" s="6">
        <v>617</v>
      </c>
      <c r="F158" s="6">
        <v>666</v>
      </c>
      <c r="G158" s="7">
        <f t="shared" si="10"/>
        <v>-0.21052631578947367</v>
      </c>
      <c r="H158" s="13">
        <f t="shared" si="11"/>
        <v>1.8872629586389037E-3</v>
      </c>
      <c r="I158" s="7">
        <f t="shared" si="12"/>
        <v>7.9416531604538099E-2</v>
      </c>
      <c r="J158" s="22">
        <v>0.72040000000000004</v>
      </c>
      <c r="K158" s="20">
        <f t="shared" si="13"/>
        <v>-1.0031046869434526E-2</v>
      </c>
      <c r="L158" s="7">
        <f t="shared" si="14"/>
        <v>1.0031046869434526E-2</v>
      </c>
    </row>
    <row r="159" spans="2:12" x14ac:dyDescent="0.25">
      <c r="B159" s="5">
        <v>994</v>
      </c>
      <c r="C159" s="6">
        <v>204</v>
      </c>
      <c r="D159" s="6">
        <v>169</v>
      </c>
      <c r="E159" s="6">
        <v>883</v>
      </c>
      <c r="F159" s="6">
        <v>954</v>
      </c>
      <c r="G159" s="7">
        <f t="shared" si="10"/>
        <v>-0.17156862745098034</v>
      </c>
      <c r="H159" s="13">
        <f t="shared" si="11"/>
        <v>2.7033766704827539E-3</v>
      </c>
      <c r="I159" s="7">
        <f t="shared" si="12"/>
        <v>8.0407701019252542E-2</v>
      </c>
      <c r="J159" s="22">
        <v>0.56409999999999993</v>
      </c>
      <c r="K159" s="20">
        <f t="shared" si="13"/>
        <v>-9.8798998680905553E-3</v>
      </c>
      <c r="L159" s="7">
        <f t="shared" si="14"/>
        <v>9.8798998680905553E-3</v>
      </c>
    </row>
    <row r="160" spans="2:12" x14ac:dyDescent="0.25">
      <c r="B160" s="5">
        <v>1182</v>
      </c>
      <c r="C160" s="6">
        <v>176</v>
      </c>
      <c r="D160" s="6">
        <v>140</v>
      </c>
      <c r="E160" s="6">
        <v>982</v>
      </c>
      <c r="F160" s="6">
        <v>1062</v>
      </c>
      <c r="G160" s="7">
        <f t="shared" si="10"/>
        <v>-0.20454545454545459</v>
      </c>
      <c r="H160" s="13">
        <f t="shared" si="11"/>
        <v>3.0094193124241978E-3</v>
      </c>
      <c r="I160" s="7">
        <f t="shared" si="12"/>
        <v>8.1466395112016254E-2</v>
      </c>
      <c r="J160" s="22">
        <v>0.70369999999999999</v>
      </c>
      <c r="K160" s="20">
        <f t="shared" si="13"/>
        <v>-8.5742203192075012E-3</v>
      </c>
      <c r="L160" s="7">
        <f t="shared" si="14"/>
        <v>8.5742203192075012E-3</v>
      </c>
    </row>
    <row r="161" spans="2:12" x14ac:dyDescent="0.25">
      <c r="B161" s="5">
        <v>992</v>
      </c>
      <c r="C161" s="6">
        <v>209</v>
      </c>
      <c r="D161" s="6">
        <v>172</v>
      </c>
      <c r="E161" s="6">
        <v>825</v>
      </c>
      <c r="F161" s="6">
        <v>881</v>
      </c>
      <c r="G161" s="7">
        <f t="shared" si="10"/>
        <v>-0.17703349282296654</v>
      </c>
      <c r="H161" s="13">
        <f t="shared" si="11"/>
        <v>2.496514514355667E-3</v>
      </c>
      <c r="I161" s="7">
        <f t="shared" si="12"/>
        <v>6.7878787878787872E-2</v>
      </c>
      <c r="J161" s="22">
        <v>0.60549999999999993</v>
      </c>
      <c r="K161" s="20">
        <f t="shared" si="13"/>
        <v>-8.232739728747801E-3</v>
      </c>
      <c r="L161" s="7">
        <f t="shared" si="14"/>
        <v>8.232739728747801E-3</v>
      </c>
    </row>
    <row r="162" spans="2:12" x14ac:dyDescent="0.25">
      <c r="B162" s="5">
        <v>1102</v>
      </c>
      <c r="C162" s="6">
        <v>281</v>
      </c>
      <c r="D162" s="6">
        <v>234</v>
      </c>
      <c r="E162" s="6">
        <v>1354</v>
      </c>
      <c r="F162" s="6">
        <v>1458</v>
      </c>
      <c r="G162" s="7">
        <f t="shared" si="10"/>
        <v>-0.16725978647686834</v>
      </c>
      <c r="H162" s="13">
        <f t="shared" si="11"/>
        <v>4.1315756662094923E-3</v>
      </c>
      <c r="I162" s="7">
        <f t="shared" si="12"/>
        <v>7.6809453471196498E-2</v>
      </c>
      <c r="J162" s="22">
        <v>0.5595</v>
      </c>
      <c r="K162" s="20">
        <f t="shared" si="13"/>
        <v>-8.1301901890699357E-3</v>
      </c>
      <c r="L162" s="7">
        <f t="shared" si="14"/>
        <v>8.1301901890699357E-3</v>
      </c>
    </row>
    <row r="163" spans="2:12" x14ac:dyDescent="0.25">
      <c r="B163" s="5">
        <v>1075</v>
      </c>
      <c r="C163" s="6">
        <v>97</v>
      </c>
      <c r="D163" s="6">
        <v>80</v>
      </c>
      <c r="E163" s="6">
        <v>552</v>
      </c>
      <c r="F163" s="6">
        <v>563</v>
      </c>
      <c r="G163" s="7">
        <f t="shared" si="10"/>
        <v>-0.17525773195876293</v>
      </c>
      <c r="H163" s="13">
        <f t="shared" si="11"/>
        <v>1.5953889575280823E-3</v>
      </c>
      <c r="I163" s="7">
        <f t="shared" si="12"/>
        <v>1.9927536231884035E-2</v>
      </c>
      <c r="J163" s="22">
        <v>0.63479999999999992</v>
      </c>
      <c r="K163" s="20">
        <f t="shared" si="13"/>
        <v>-7.7025772084401561E-3</v>
      </c>
      <c r="L163" s="7">
        <f t="shared" si="14"/>
        <v>7.7025772084401561E-3</v>
      </c>
    </row>
    <row r="164" spans="2:12" x14ac:dyDescent="0.25">
      <c r="B164" s="5">
        <v>1207</v>
      </c>
      <c r="C164" s="6">
        <v>308</v>
      </c>
      <c r="D164" s="6">
        <v>260</v>
      </c>
      <c r="E164" s="6">
        <v>1383</v>
      </c>
      <c r="F164" s="6">
        <v>1468</v>
      </c>
      <c r="G164" s="7">
        <f t="shared" si="10"/>
        <v>-0.1558441558441559</v>
      </c>
      <c r="H164" s="13">
        <f t="shared" si="11"/>
        <v>4.1599129478707367E-3</v>
      </c>
      <c r="I164" s="7">
        <f t="shared" si="12"/>
        <v>6.1460592913955114E-2</v>
      </c>
      <c r="J164" s="22">
        <v>0.53170000000000006</v>
      </c>
      <c r="K164" s="20">
        <f t="shared" si="13"/>
        <v>-6.9814472729174126E-3</v>
      </c>
      <c r="L164" s="7">
        <f t="shared" si="14"/>
        <v>6.9814472729174126E-3</v>
      </c>
    </row>
    <row r="165" spans="2:12" x14ac:dyDescent="0.25">
      <c r="B165" s="5">
        <v>1101</v>
      </c>
      <c r="C165" s="6">
        <v>380</v>
      </c>
      <c r="D165" s="6">
        <v>321</v>
      </c>
      <c r="E165" s="6">
        <v>1954</v>
      </c>
      <c r="F165" s="6">
        <v>2125</v>
      </c>
      <c r="G165" s="7">
        <f t="shared" si="10"/>
        <v>-0.15526315789473688</v>
      </c>
      <c r="H165" s="13">
        <f t="shared" si="11"/>
        <v>6.02167235301452E-3</v>
      </c>
      <c r="I165" s="7">
        <f t="shared" si="12"/>
        <v>8.7512794268167937E-2</v>
      </c>
      <c r="J165" s="22">
        <v>0.5212</v>
      </c>
      <c r="K165" s="20">
        <f t="shared" si="13"/>
        <v>-5.3233644570731542E-3</v>
      </c>
      <c r="L165" s="7">
        <f t="shared" si="14"/>
        <v>5.3233644570731542E-3</v>
      </c>
    </row>
    <row r="166" spans="2:12" x14ac:dyDescent="0.25">
      <c r="B166" s="5">
        <v>1166</v>
      </c>
      <c r="C166" s="6">
        <v>463</v>
      </c>
      <c r="D166" s="6">
        <v>377</v>
      </c>
      <c r="E166" s="6">
        <v>1700</v>
      </c>
      <c r="F166" s="6">
        <v>1860</v>
      </c>
      <c r="G166" s="7">
        <f t="shared" si="10"/>
        <v>-0.18574514038876888</v>
      </c>
      <c r="H166" s="13">
        <f t="shared" si="11"/>
        <v>5.2707343889915326E-3</v>
      </c>
      <c r="I166" s="7">
        <f t="shared" si="12"/>
        <v>9.4117647058823639E-2</v>
      </c>
      <c r="J166" s="22">
        <v>0.64019999999999999</v>
      </c>
      <c r="K166" s="20">
        <f t="shared" si="13"/>
        <v>-5.2147093690302349E-3</v>
      </c>
      <c r="L166" s="7">
        <f t="shared" si="14"/>
        <v>5.2147093690302349E-3</v>
      </c>
    </row>
    <row r="167" spans="2:12" x14ac:dyDescent="0.25">
      <c r="B167" s="5">
        <v>1117</v>
      </c>
      <c r="C167" s="6">
        <v>117</v>
      </c>
      <c r="D167" s="6">
        <v>92</v>
      </c>
      <c r="E167" s="6">
        <v>845</v>
      </c>
      <c r="F167" s="6">
        <v>948</v>
      </c>
      <c r="G167" s="7">
        <f t="shared" si="10"/>
        <v>-0.21367521367521369</v>
      </c>
      <c r="H167" s="13">
        <f t="shared" si="11"/>
        <v>2.6863743014860072E-3</v>
      </c>
      <c r="I167" s="7">
        <f t="shared" si="12"/>
        <v>0.1218934911242604</v>
      </c>
      <c r="J167" s="22">
        <v>0.74419999999999997</v>
      </c>
      <c r="K167" s="20">
        <f t="shared" si="13"/>
        <v>-3.9828229474792864E-3</v>
      </c>
      <c r="L167" s="7">
        <f t="shared" si="14"/>
        <v>3.9828229474792864E-3</v>
      </c>
    </row>
    <row r="168" spans="2:12" x14ac:dyDescent="0.25">
      <c r="B168" s="5">
        <v>1119</v>
      </c>
      <c r="C168" s="6">
        <v>101</v>
      </c>
      <c r="D168" s="6">
        <v>82</v>
      </c>
      <c r="E168" s="6">
        <v>715</v>
      </c>
      <c r="F168" s="6">
        <v>743</v>
      </c>
      <c r="G168" s="7">
        <f t="shared" si="10"/>
        <v>-0.18811881188118806</v>
      </c>
      <c r="H168" s="13">
        <f t="shared" si="11"/>
        <v>2.1054600274304888E-3</v>
      </c>
      <c r="I168" s="7">
        <f t="shared" si="12"/>
        <v>3.9160839160839123E-2</v>
      </c>
      <c r="J168" s="22">
        <v>0.69840000000000002</v>
      </c>
      <c r="K168" s="20">
        <f t="shared" si="13"/>
        <v>-3.8793842085143304E-3</v>
      </c>
      <c r="L168" s="7">
        <f t="shared" si="14"/>
        <v>3.8793842085143304E-3</v>
      </c>
    </row>
    <row r="169" spans="2:12" x14ac:dyDescent="0.25">
      <c r="B169" s="5">
        <v>1190</v>
      </c>
      <c r="C169" s="6">
        <v>392</v>
      </c>
      <c r="D169" s="6">
        <v>328</v>
      </c>
      <c r="E169" s="6">
        <v>1419</v>
      </c>
      <c r="F169" s="6">
        <v>1550</v>
      </c>
      <c r="G169" s="7">
        <f t="shared" si="10"/>
        <v>-0.16326530612244894</v>
      </c>
      <c r="H169" s="13">
        <f t="shared" si="11"/>
        <v>4.3922786574929441E-3</v>
      </c>
      <c r="I169" s="7">
        <f t="shared" si="12"/>
        <v>9.2318534178999379E-2</v>
      </c>
      <c r="J169" s="22">
        <v>0.56729999999999992</v>
      </c>
      <c r="K169" s="20">
        <f t="shared" si="13"/>
        <v>-2.9734884569454917E-3</v>
      </c>
      <c r="L169" s="7">
        <f t="shared" si="14"/>
        <v>2.9734884569454917E-3</v>
      </c>
    </row>
    <row r="170" spans="2:12" x14ac:dyDescent="0.25">
      <c r="B170" s="5">
        <v>1177</v>
      </c>
      <c r="C170" s="6">
        <v>243</v>
      </c>
      <c r="D170" s="6">
        <v>198</v>
      </c>
      <c r="E170" s="6">
        <v>986</v>
      </c>
      <c r="F170" s="6">
        <v>1099</v>
      </c>
      <c r="G170" s="7">
        <f t="shared" si="10"/>
        <v>-0.18518518518518523</v>
      </c>
      <c r="H170" s="13">
        <f t="shared" si="11"/>
        <v>3.1142672545708037E-3</v>
      </c>
      <c r="I170" s="7">
        <f t="shared" si="12"/>
        <v>0.11460446247464495</v>
      </c>
      <c r="J170" s="22">
        <v>0.64469999999999994</v>
      </c>
      <c r="K170" s="20">
        <f t="shared" si="13"/>
        <v>-2.4785247754610384E-3</v>
      </c>
      <c r="L170" s="7">
        <f t="shared" si="14"/>
        <v>2.4785247754610384E-3</v>
      </c>
    </row>
    <row r="171" spans="2:12" x14ac:dyDescent="0.25">
      <c r="B171" s="5">
        <v>1131</v>
      </c>
      <c r="C171" s="6">
        <v>334</v>
      </c>
      <c r="D171" s="6">
        <v>286</v>
      </c>
      <c r="E171" s="6">
        <v>1289</v>
      </c>
      <c r="F171" s="6">
        <v>1415</v>
      </c>
      <c r="G171" s="7">
        <f t="shared" si="10"/>
        <v>-0.14371257485029942</v>
      </c>
      <c r="H171" s="13">
        <f t="shared" si="11"/>
        <v>4.0097253550661393E-3</v>
      </c>
      <c r="I171" s="7">
        <f t="shared" si="12"/>
        <v>9.775019394879747E-2</v>
      </c>
      <c r="J171" s="22">
        <v>0.50039999999999996</v>
      </c>
      <c r="K171" s="20">
        <f t="shared" si="13"/>
        <v>-7.9106671204000334E-4</v>
      </c>
      <c r="L171" s="7">
        <f t="shared" si="14"/>
        <v>7.9106671204000334E-4</v>
      </c>
    </row>
    <row r="172" spans="2:12" x14ac:dyDescent="0.25">
      <c r="B172" s="5">
        <v>1125</v>
      </c>
      <c r="C172" s="6">
        <v>293</v>
      </c>
      <c r="D172" s="6">
        <v>254</v>
      </c>
      <c r="E172" s="6">
        <v>1422</v>
      </c>
      <c r="F172" s="6">
        <v>1472</v>
      </c>
      <c r="G172" s="7">
        <f t="shared" si="10"/>
        <v>-0.13310580204778155</v>
      </c>
      <c r="H172" s="13">
        <f t="shared" si="11"/>
        <v>4.1712478605352345E-3</v>
      </c>
      <c r="I172" s="7">
        <f t="shared" si="12"/>
        <v>3.5161744022503605E-2</v>
      </c>
      <c r="J172" s="22">
        <v>0.50219999999999998</v>
      </c>
      <c r="K172" s="20">
        <f t="shared" si="13"/>
        <v>-3.9161964733828991E-4</v>
      </c>
      <c r="L172" s="7">
        <f t="shared" si="14"/>
        <v>3.9161964733828991E-4</v>
      </c>
    </row>
    <row r="173" spans="2:12" x14ac:dyDescent="0.25">
      <c r="B173" s="5">
        <v>1064</v>
      </c>
      <c r="C173" s="6">
        <v>211</v>
      </c>
      <c r="D173" s="6">
        <v>175</v>
      </c>
      <c r="E173" s="6">
        <v>891</v>
      </c>
      <c r="F173" s="6">
        <v>998</v>
      </c>
      <c r="G173" s="7">
        <f t="shared" si="10"/>
        <v>-0.17061611374407581</v>
      </c>
      <c r="H173" s="13">
        <f t="shared" si="11"/>
        <v>2.8280607097922309E-3</v>
      </c>
      <c r="I173" s="7">
        <f t="shared" si="12"/>
        <v>0.12008978675645343</v>
      </c>
      <c r="J173" s="22">
        <v>0.60240000000000005</v>
      </c>
      <c r="K173" s="20">
        <f t="shared" si="13"/>
        <v>4.2351953566870104E-4</v>
      </c>
      <c r="L173" s="7">
        <f t="shared" si="14"/>
        <v>-4.2351953566870104E-4</v>
      </c>
    </row>
    <row r="174" spans="2:12" x14ac:dyDescent="0.25">
      <c r="B174" s="5">
        <v>969</v>
      </c>
      <c r="C174" s="6">
        <v>239</v>
      </c>
      <c r="D174" s="6">
        <v>208</v>
      </c>
      <c r="E174" s="6">
        <v>1250</v>
      </c>
      <c r="F174" s="6">
        <v>1320</v>
      </c>
      <c r="G174" s="7">
        <f t="shared" si="10"/>
        <v>-0.12970711297071125</v>
      </c>
      <c r="H174" s="13">
        <f t="shared" si="11"/>
        <v>3.7405211792843136E-3</v>
      </c>
      <c r="I174" s="7">
        <f t="shared" si="12"/>
        <v>5.600000000000005E-2</v>
      </c>
      <c r="J174" s="22">
        <v>0.48229999999999995</v>
      </c>
      <c r="K174" s="20">
        <f t="shared" si="13"/>
        <v>6.8181039446589542E-4</v>
      </c>
      <c r="L174" s="7">
        <f t="shared" si="14"/>
        <v>-6.8181039446589542E-4</v>
      </c>
    </row>
    <row r="175" spans="2:12" x14ac:dyDescent="0.25">
      <c r="B175" s="5">
        <v>1048</v>
      </c>
      <c r="C175" s="6">
        <v>176</v>
      </c>
      <c r="D175" s="6">
        <v>149</v>
      </c>
      <c r="E175" s="6">
        <v>676</v>
      </c>
      <c r="F175" s="6">
        <v>725</v>
      </c>
      <c r="G175" s="7">
        <f t="shared" si="10"/>
        <v>-0.15340909090909094</v>
      </c>
      <c r="H175" s="13">
        <f t="shared" si="11"/>
        <v>2.0544529204402479E-3</v>
      </c>
      <c r="I175" s="7">
        <f t="shared" si="12"/>
        <v>7.2485207100591698E-2</v>
      </c>
      <c r="J175" s="22">
        <v>0.57079999999999997</v>
      </c>
      <c r="K175" s="20">
        <f t="shared" si="13"/>
        <v>1.1312341026706446E-3</v>
      </c>
      <c r="L175" s="7">
        <f t="shared" si="14"/>
        <v>-1.1312341026706446E-3</v>
      </c>
    </row>
    <row r="176" spans="2:12" x14ac:dyDescent="0.25">
      <c r="B176" s="5">
        <v>1082</v>
      </c>
      <c r="C176" s="6">
        <v>201</v>
      </c>
      <c r="D176" s="6">
        <v>172</v>
      </c>
      <c r="E176" s="6">
        <v>1040</v>
      </c>
      <c r="F176" s="6">
        <v>1094</v>
      </c>
      <c r="G176" s="7">
        <f t="shared" si="10"/>
        <v>-0.14427860696517414</v>
      </c>
      <c r="H176" s="13">
        <f t="shared" si="11"/>
        <v>3.100098613740181E-3</v>
      </c>
      <c r="I176" s="7">
        <f t="shared" si="12"/>
        <v>5.1923076923076961E-2</v>
      </c>
      <c r="J176" s="22">
        <v>0.55030000000000001</v>
      </c>
      <c r="K176" s="20">
        <f t="shared" si="13"/>
        <v>1.6351583052642282E-3</v>
      </c>
      <c r="L176" s="7">
        <f t="shared" si="14"/>
        <v>-1.6351583052642282E-3</v>
      </c>
    </row>
    <row r="177" spans="2:12" x14ac:dyDescent="0.25">
      <c r="B177" s="5">
        <v>1130</v>
      </c>
      <c r="C177" s="6">
        <v>169</v>
      </c>
      <c r="D177" s="6">
        <v>146</v>
      </c>
      <c r="E177" s="6">
        <v>787</v>
      </c>
      <c r="F177" s="6">
        <v>855</v>
      </c>
      <c r="G177" s="7">
        <f t="shared" si="10"/>
        <v>-0.13609467455621305</v>
      </c>
      <c r="H177" s="13">
        <f t="shared" si="11"/>
        <v>2.4228375820364305E-3</v>
      </c>
      <c r="I177" s="7">
        <f t="shared" si="12"/>
        <v>8.640406607369755E-2</v>
      </c>
      <c r="J177" s="22">
        <v>0.49939999999999996</v>
      </c>
      <c r="K177" s="20">
        <f t="shared" si="13"/>
        <v>2.2570275109473764E-3</v>
      </c>
      <c r="L177" s="7">
        <f t="shared" si="14"/>
        <v>-2.2570275109473764E-3</v>
      </c>
    </row>
    <row r="178" spans="2:12" x14ac:dyDescent="0.25">
      <c r="B178" s="5">
        <v>1171</v>
      </c>
      <c r="C178" s="6">
        <v>155</v>
      </c>
      <c r="D178" s="6">
        <v>130</v>
      </c>
      <c r="E178" s="6">
        <v>779</v>
      </c>
      <c r="F178" s="6">
        <v>834</v>
      </c>
      <c r="G178" s="7">
        <f t="shared" si="10"/>
        <v>-0.16129032258064513</v>
      </c>
      <c r="H178" s="13">
        <f t="shared" si="11"/>
        <v>2.3633292905478162E-3</v>
      </c>
      <c r="I178" s="7">
        <f t="shared" si="12"/>
        <v>7.0603337612323402E-2</v>
      </c>
      <c r="J178" s="22">
        <v>0.61799999999999999</v>
      </c>
      <c r="K178" s="20">
        <f t="shared" si="13"/>
        <v>3.3406396064274285E-3</v>
      </c>
      <c r="L178" s="7">
        <f t="shared" si="14"/>
        <v>-3.3406396064274285E-3</v>
      </c>
    </row>
    <row r="179" spans="2:12" x14ac:dyDescent="0.25">
      <c r="B179" s="5">
        <v>1115</v>
      </c>
      <c r="C179" s="6">
        <v>166</v>
      </c>
      <c r="D179" s="6">
        <v>134</v>
      </c>
      <c r="E179" s="6">
        <v>896</v>
      </c>
      <c r="F179" s="6">
        <v>1021</v>
      </c>
      <c r="G179" s="7">
        <f t="shared" si="10"/>
        <v>-0.19277108433734935</v>
      </c>
      <c r="H179" s="13">
        <f t="shared" si="11"/>
        <v>2.8932364576130941E-3</v>
      </c>
      <c r="I179" s="7">
        <f t="shared" si="12"/>
        <v>0.1395089285714286</v>
      </c>
      <c r="J179" s="22">
        <v>0.71409999999999996</v>
      </c>
      <c r="K179" s="20">
        <f t="shared" si="13"/>
        <v>5.8372277233752212E-3</v>
      </c>
      <c r="L179" s="7">
        <f t="shared" si="14"/>
        <v>-5.8372277233752212E-3</v>
      </c>
    </row>
    <row r="180" spans="2:12" x14ac:dyDescent="0.25">
      <c r="B180" s="5">
        <v>1205</v>
      </c>
      <c r="C180" s="6">
        <v>295</v>
      </c>
      <c r="D180" s="6">
        <v>246</v>
      </c>
      <c r="E180" s="6">
        <v>992</v>
      </c>
      <c r="F180" s="6">
        <v>1063</v>
      </c>
      <c r="G180" s="7">
        <f t="shared" si="10"/>
        <v>-0.16610169491525428</v>
      </c>
      <c r="H180" s="13">
        <f t="shared" si="11"/>
        <v>3.0122530405903222E-3</v>
      </c>
      <c r="I180" s="7">
        <f t="shared" si="12"/>
        <v>7.1572580645161255E-2</v>
      </c>
      <c r="J180" s="22">
        <v>0.65510000000000002</v>
      </c>
      <c r="K180" s="20">
        <f t="shared" si="13"/>
        <v>6.2130790714521184E-3</v>
      </c>
      <c r="L180" s="7">
        <f t="shared" si="14"/>
        <v>-6.2130790714521184E-3</v>
      </c>
    </row>
    <row r="181" spans="2:12" x14ac:dyDescent="0.25">
      <c r="B181" s="5">
        <v>970</v>
      </c>
      <c r="C181" s="6">
        <v>301</v>
      </c>
      <c r="D181" s="6">
        <v>267</v>
      </c>
      <c r="E181" s="6">
        <v>1387</v>
      </c>
      <c r="F181" s="6">
        <v>1510</v>
      </c>
      <c r="G181" s="7">
        <f t="shared" si="10"/>
        <v>-0.1129568106312292</v>
      </c>
      <c r="H181" s="13">
        <f t="shared" si="11"/>
        <v>4.2789295308479644E-3</v>
      </c>
      <c r="I181" s="7">
        <f t="shared" si="12"/>
        <v>8.8680605623648212E-2</v>
      </c>
      <c r="J181" s="22">
        <v>0.43079999999999996</v>
      </c>
      <c r="K181" s="20">
        <f t="shared" si="13"/>
        <v>6.3558136132545046E-3</v>
      </c>
      <c r="L181" s="7">
        <f t="shared" si="14"/>
        <v>-6.3558136132545046E-3</v>
      </c>
    </row>
    <row r="182" spans="2:12" x14ac:dyDescent="0.25">
      <c r="B182" s="5">
        <v>1153</v>
      </c>
      <c r="C182" s="6">
        <v>185</v>
      </c>
      <c r="D182" s="6">
        <v>156</v>
      </c>
      <c r="E182" s="6">
        <v>907</v>
      </c>
      <c r="F182" s="6">
        <v>1013</v>
      </c>
      <c r="G182" s="7">
        <f t="shared" si="10"/>
        <v>-0.15675675675675671</v>
      </c>
      <c r="H182" s="13">
        <f t="shared" si="11"/>
        <v>2.8705666322840981E-3</v>
      </c>
      <c r="I182" s="7">
        <f t="shared" si="12"/>
        <v>0.11686879823594265</v>
      </c>
      <c r="J182" s="22">
        <v>0.58950000000000002</v>
      </c>
      <c r="K182" s="20">
        <f t="shared" si="13"/>
        <v>6.4884107643828626E-3</v>
      </c>
      <c r="L182" s="7">
        <f t="shared" si="14"/>
        <v>-6.4884107643828626E-3</v>
      </c>
    </row>
    <row r="183" spans="2:12" x14ac:dyDescent="0.25">
      <c r="B183" s="5">
        <v>1278</v>
      </c>
      <c r="C183" s="6">
        <v>102</v>
      </c>
      <c r="D183" s="6">
        <v>89</v>
      </c>
      <c r="E183" s="6">
        <v>763</v>
      </c>
      <c r="F183" s="6">
        <v>868</v>
      </c>
      <c r="G183" s="7">
        <f t="shared" si="10"/>
        <v>-0.12745098039215685</v>
      </c>
      <c r="H183" s="13">
        <f t="shared" si="11"/>
        <v>2.4596760481960488E-3</v>
      </c>
      <c r="I183" s="7">
        <f t="shared" si="12"/>
        <v>0.13761467889908263</v>
      </c>
      <c r="J183" s="22">
        <v>0.45939999999999998</v>
      </c>
      <c r="K183" s="20">
        <f t="shared" si="13"/>
        <v>6.5698310618435632E-3</v>
      </c>
      <c r="L183" s="7">
        <f t="shared" si="14"/>
        <v>-6.5698310618435632E-3</v>
      </c>
    </row>
    <row r="184" spans="2:12" x14ac:dyDescent="0.25">
      <c r="B184" s="5">
        <v>1241</v>
      </c>
      <c r="C184" s="6">
        <v>381</v>
      </c>
      <c r="D184" s="6">
        <v>342</v>
      </c>
      <c r="E184" s="6">
        <v>1787</v>
      </c>
      <c r="F184" s="6">
        <v>1919</v>
      </c>
      <c r="G184" s="7">
        <f t="shared" si="10"/>
        <v>-0.10236220472440949</v>
      </c>
      <c r="H184" s="13">
        <f t="shared" si="11"/>
        <v>5.4379243507928767E-3</v>
      </c>
      <c r="I184" s="7">
        <f t="shared" si="12"/>
        <v>7.386681589255728E-2</v>
      </c>
      <c r="J184" s="22">
        <v>0.40189999999999998</v>
      </c>
      <c r="K184" s="20">
        <f t="shared" si="13"/>
        <v>7.0700474072289618E-3</v>
      </c>
      <c r="L184" s="7">
        <f t="shared" si="14"/>
        <v>-7.0700474072289618E-3</v>
      </c>
    </row>
    <row r="185" spans="2:12" x14ac:dyDescent="0.25">
      <c r="B185" s="5">
        <v>996</v>
      </c>
      <c r="C185" s="6">
        <v>162</v>
      </c>
      <c r="D185" s="6">
        <v>138</v>
      </c>
      <c r="E185" s="6">
        <v>634</v>
      </c>
      <c r="F185" s="6">
        <v>688</v>
      </c>
      <c r="G185" s="7">
        <f t="shared" si="10"/>
        <v>-0.14814814814814814</v>
      </c>
      <c r="H185" s="13">
        <f t="shared" si="11"/>
        <v>1.9496049782936422E-3</v>
      </c>
      <c r="I185" s="7">
        <f t="shared" si="12"/>
        <v>8.5173501577286981E-2</v>
      </c>
      <c r="J185" s="22">
        <v>0.58950000000000002</v>
      </c>
      <c r="K185" s="20">
        <f t="shared" si="13"/>
        <v>8.3459020155838698E-3</v>
      </c>
      <c r="L185" s="7">
        <f t="shared" si="14"/>
        <v>-8.3459020155838698E-3</v>
      </c>
    </row>
    <row r="186" spans="2:12" x14ac:dyDescent="0.25">
      <c r="B186" s="5">
        <v>1092</v>
      </c>
      <c r="C186" s="6">
        <v>236</v>
      </c>
      <c r="D186" s="6">
        <v>204</v>
      </c>
      <c r="E186" s="6">
        <v>1048</v>
      </c>
      <c r="F186" s="6">
        <v>1105</v>
      </c>
      <c r="G186" s="7">
        <f t="shared" si="10"/>
        <v>-0.13559322033898302</v>
      </c>
      <c r="H186" s="13">
        <f t="shared" si="11"/>
        <v>3.1312696235675504E-3</v>
      </c>
      <c r="I186" s="7">
        <f t="shared" si="12"/>
        <v>5.4389312977099147E-2</v>
      </c>
      <c r="J186" s="22">
        <v>0.57369999999999999</v>
      </c>
      <c r="K186" s="20">
        <f t="shared" si="13"/>
        <v>1.0607689537855236E-2</v>
      </c>
      <c r="L186" s="7">
        <f t="shared" si="14"/>
        <v>-1.0607689537855236E-2</v>
      </c>
    </row>
    <row r="187" spans="2:12" x14ac:dyDescent="0.25">
      <c r="B187" s="5">
        <v>1238</v>
      </c>
      <c r="C187" s="6">
        <v>180</v>
      </c>
      <c r="D187" s="6">
        <v>159</v>
      </c>
      <c r="E187" s="6">
        <v>1434</v>
      </c>
      <c r="F187" s="6">
        <v>1751</v>
      </c>
      <c r="G187" s="7">
        <f t="shared" si="10"/>
        <v>-0.1166666666666667</v>
      </c>
      <c r="H187" s="13">
        <f t="shared" si="11"/>
        <v>4.9618580188839643E-3</v>
      </c>
      <c r="I187" s="7">
        <f t="shared" si="12"/>
        <v>0.22105997210599715</v>
      </c>
      <c r="J187" s="22">
        <v>0.39479999999999998</v>
      </c>
      <c r="K187" s="20">
        <f t="shared" si="13"/>
        <v>1.2070275913432293E-2</v>
      </c>
      <c r="L187" s="7">
        <f t="shared" si="14"/>
        <v>-1.2070275913432293E-2</v>
      </c>
    </row>
    <row r="188" spans="2:12" x14ac:dyDescent="0.25">
      <c r="B188" s="5">
        <v>1154</v>
      </c>
      <c r="C188" s="6">
        <v>132</v>
      </c>
      <c r="D188" s="6">
        <v>113</v>
      </c>
      <c r="E188" s="6">
        <v>496</v>
      </c>
      <c r="F188" s="6">
        <v>530</v>
      </c>
      <c r="G188" s="7">
        <f t="shared" si="10"/>
        <v>-0.14393939393939392</v>
      </c>
      <c r="H188" s="13">
        <f t="shared" si="11"/>
        <v>1.5018759280459744E-3</v>
      </c>
      <c r="I188" s="7">
        <f t="shared" si="12"/>
        <v>6.8548387096774244E-2</v>
      </c>
      <c r="J188" s="22">
        <v>0.62649999999999995</v>
      </c>
      <c r="K188" s="20">
        <f t="shared" si="13"/>
        <v>1.4691483735247965E-2</v>
      </c>
      <c r="L188" s="7">
        <f t="shared" si="14"/>
        <v>-1.4691483735247965E-2</v>
      </c>
    </row>
    <row r="189" spans="2:12" x14ac:dyDescent="0.25">
      <c r="B189" s="5">
        <v>966</v>
      </c>
      <c r="C189" s="6">
        <v>237</v>
      </c>
      <c r="D189" s="6">
        <v>208</v>
      </c>
      <c r="E189" s="6">
        <v>992</v>
      </c>
      <c r="F189" s="6">
        <v>1099</v>
      </c>
      <c r="G189" s="7">
        <f t="shared" si="10"/>
        <v>-0.12236286919831219</v>
      </c>
      <c r="H189" s="13">
        <f t="shared" si="11"/>
        <v>3.1142672545708037E-3</v>
      </c>
      <c r="I189" s="7">
        <f t="shared" si="12"/>
        <v>0.10786290322580649</v>
      </c>
      <c r="J189" s="22">
        <v>0.52700000000000002</v>
      </c>
      <c r="K189" s="20">
        <f t="shared" si="13"/>
        <v>1.6885708891778956E-2</v>
      </c>
      <c r="L189" s="7">
        <f t="shared" si="14"/>
        <v>-1.6885708891778956E-2</v>
      </c>
    </row>
    <row r="190" spans="2:12" x14ac:dyDescent="0.25">
      <c r="B190" s="5">
        <v>1074</v>
      </c>
      <c r="C190" s="6">
        <v>99</v>
      </c>
      <c r="D190" s="6">
        <v>83</v>
      </c>
      <c r="E190" s="6">
        <v>782</v>
      </c>
      <c r="F190" s="6">
        <v>837</v>
      </c>
      <c r="G190" s="7">
        <f t="shared" si="10"/>
        <v>-0.16161616161616166</v>
      </c>
      <c r="H190" s="13">
        <f t="shared" si="11"/>
        <v>2.3718304750461896E-3</v>
      </c>
      <c r="I190" s="7">
        <f t="shared" si="12"/>
        <v>7.0332480818414256E-2</v>
      </c>
      <c r="J190" s="22">
        <v>0.71200000000000008</v>
      </c>
      <c r="K190" s="20">
        <f t="shared" si="13"/>
        <v>1.7219325683401371E-2</v>
      </c>
      <c r="L190" s="7">
        <f t="shared" si="14"/>
        <v>-1.7219325683401371E-2</v>
      </c>
    </row>
    <row r="191" spans="2:12" x14ac:dyDescent="0.25">
      <c r="B191" s="5">
        <v>1157</v>
      </c>
      <c r="C191" s="6">
        <v>181</v>
      </c>
      <c r="D191" s="6">
        <v>153</v>
      </c>
      <c r="E191" s="6">
        <v>566</v>
      </c>
      <c r="F191" s="6">
        <v>626</v>
      </c>
      <c r="G191" s="7">
        <f t="shared" si="10"/>
        <v>-0.15469613259668513</v>
      </c>
      <c r="H191" s="13">
        <f t="shared" si="11"/>
        <v>1.7739138319939245E-3</v>
      </c>
      <c r="I191" s="7">
        <f t="shared" si="12"/>
        <v>0.10600706713780927</v>
      </c>
      <c r="J191" s="22">
        <v>0.67579999999999996</v>
      </c>
      <c r="K191" s="20">
        <f t="shared" si="13"/>
        <v>1.9419114230568912E-2</v>
      </c>
      <c r="L191" s="7">
        <f t="shared" si="14"/>
        <v>-1.9419114230568912E-2</v>
      </c>
    </row>
    <row r="192" spans="2:12" x14ac:dyDescent="0.25">
      <c r="B192" s="5">
        <v>1163</v>
      </c>
      <c r="C192" s="6">
        <v>346</v>
      </c>
      <c r="D192" s="6">
        <v>290</v>
      </c>
      <c r="E192" s="6">
        <v>1258</v>
      </c>
      <c r="F192" s="6">
        <v>1486</v>
      </c>
      <c r="G192" s="7">
        <f t="shared" si="10"/>
        <v>-0.16184971098265899</v>
      </c>
      <c r="H192" s="13">
        <f t="shared" si="11"/>
        <v>4.2109200548609777E-3</v>
      </c>
      <c r="I192" s="7">
        <f t="shared" si="12"/>
        <v>0.18124006359300471</v>
      </c>
      <c r="J192" s="22">
        <v>0.66220000000000001</v>
      </c>
      <c r="K192" s="20">
        <f t="shared" si="13"/>
        <v>2.0975817777934225E-2</v>
      </c>
      <c r="L192" s="7">
        <f t="shared" si="14"/>
        <v>-2.0975817777934225E-2</v>
      </c>
    </row>
    <row r="193" spans="2:12" x14ac:dyDescent="0.25">
      <c r="B193" s="5">
        <v>1025</v>
      </c>
      <c r="C193" s="6">
        <v>82</v>
      </c>
      <c r="D193" s="6">
        <v>72</v>
      </c>
      <c r="E193" s="6">
        <v>437</v>
      </c>
      <c r="F193" s="6">
        <v>477</v>
      </c>
      <c r="G193" s="7">
        <f t="shared" si="10"/>
        <v>-0.12195121951219512</v>
      </c>
      <c r="H193" s="13">
        <f t="shared" si="11"/>
        <v>1.351688335241377E-3</v>
      </c>
      <c r="I193" s="7">
        <f t="shared" si="12"/>
        <v>9.1533180778031964E-2</v>
      </c>
      <c r="J193" s="22">
        <v>0.57889999999999997</v>
      </c>
      <c r="K193" s="20">
        <f t="shared" si="13"/>
        <v>2.3020339620772337E-2</v>
      </c>
      <c r="L193" s="7">
        <f t="shared" si="14"/>
        <v>-2.3020339620772337E-2</v>
      </c>
    </row>
    <row r="194" spans="2:12" x14ac:dyDescent="0.25">
      <c r="B194" s="5">
        <v>1132</v>
      </c>
      <c r="C194" s="6">
        <v>160</v>
      </c>
      <c r="D194" s="6">
        <v>144</v>
      </c>
      <c r="E194" s="6">
        <v>721</v>
      </c>
      <c r="F194" s="6">
        <v>773</v>
      </c>
      <c r="G194" s="7">
        <f t="shared" si="10"/>
        <v>-9.9999999999999978E-2</v>
      </c>
      <c r="H194" s="13">
        <f t="shared" si="11"/>
        <v>2.1904718724142232E-3</v>
      </c>
      <c r="I194" s="7">
        <f t="shared" si="12"/>
        <v>7.2122052704576944E-2</v>
      </c>
      <c r="J194" s="22">
        <v>0.51159999999999994</v>
      </c>
      <c r="K194" s="20">
        <f t="shared" si="13"/>
        <v>2.4280776051319834E-2</v>
      </c>
      <c r="L194" s="7">
        <f t="shared" si="14"/>
        <v>-2.4280776051319834E-2</v>
      </c>
    </row>
    <row r="195" spans="2:12" x14ac:dyDescent="0.25">
      <c r="B195" s="5">
        <v>1086</v>
      </c>
      <c r="C195" s="6">
        <v>268</v>
      </c>
      <c r="D195" s="6">
        <v>234</v>
      </c>
      <c r="E195" s="6">
        <v>1248</v>
      </c>
      <c r="F195" s="6">
        <v>1362</v>
      </c>
      <c r="G195" s="7">
        <f t="shared" ref="G195:G224" si="15">(D195/C195)-1</f>
        <v>-0.12686567164179108</v>
      </c>
      <c r="H195" s="13">
        <f t="shared" ref="H195:H224" si="16">F195/$F$225</f>
        <v>3.8595377622615418E-3</v>
      </c>
      <c r="I195" s="7">
        <f t="shared" ref="I195:I224" si="17">(F195/E195-1)</f>
        <v>9.1346153846153744E-2</v>
      </c>
      <c r="J195" s="22">
        <v>0.61149999999999993</v>
      </c>
      <c r="K195" s="20">
        <f t="shared" ref="K195:K224" si="18">(G195*0.6)+(H195*0.15)+(I195*0.1)+(J195*0.15)</f>
        <v>2.5319143063879945E-2</v>
      </c>
      <c r="L195" s="7">
        <f t="shared" si="14"/>
        <v>-2.5319143063879945E-2</v>
      </c>
    </row>
    <row r="196" spans="2:12" x14ac:dyDescent="0.25">
      <c r="B196" s="5">
        <v>1242</v>
      </c>
      <c r="C196" s="6">
        <v>472</v>
      </c>
      <c r="D196" s="6">
        <v>434</v>
      </c>
      <c r="E196" s="6">
        <v>2074</v>
      </c>
      <c r="F196" s="6">
        <v>2335</v>
      </c>
      <c r="G196" s="7">
        <f t="shared" si="15"/>
        <v>-8.0508474576271194E-2</v>
      </c>
      <c r="H196" s="13">
        <f t="shared" si="16"/>
        <v>6.6167552679006611E-3</v>
      </c>
      <c r="I196" s="7">
        <f t="shared" si="17"/>
        <v>0.12584378013500475</v>
      </c>
      <c r="J196" s="22">
        <v>0.4108</v>
      </c>
      <c r="K196" s="20">
        <f t="shared" si="18"/>
        <v>2.6891806557922851E-2</v>
      </c>
      <c r="L196" s="7">
        <f t="shared" ref="L196:L224" si="19">K196*-1</f>
        <v>-2.6891806557922851E-2</v>
      </c>
    </row>
    <row r="197" spans="2:12" x14ac:dyDescent="0.25">
      <c r="B197" s="5">
        <v>1175</v>
      </c>
      <c r="C197" s="6">
        <v>261</v>
      </c>
      <c r="D197" s="6">
        <v>228</v>
      </c>
      <c r="E197" s="6">
        <v>1063</v>
      </c>
      <c r="F197" s="6">
        <v>1137</v>
      </c>
      <c r="G197" s="7">
        <f t="shared" si="15"/>
        <v>-0.12643678160919536</v>
      </c>
      <c r="H197" s="13">
        <f t="shared" si="16"/>
        <v>3.2219489248835336E-3</v>
      </c>
      <c r="I197" s="7">
        <f t="shared" si="17"/>
        <v>6.9614299153339498E-2</v>
      </c>
      <c r="J197" s="22">
        <v>0.64049999999999996</v>
      </c>
      <c r="K197" s="20">
        <f t="shared" si="18"/>
        <v>2.7657653288549258E-2</v>
      </c>
      <c r="L197" s="7">
        <f t="shared" si="19"/>
        <v>-2.7657653288549258E-2</v>
      </c>
    </row>
    <row r="198" spans="2:12" x14ac:dyDescent="0.25">
      <c r="B198" s="5">
        <v>1179</v>
      </c>
      <c r="C198" s="6">
        <v>324</v>
      </c>
      <c r="D198" s="6">
        <v>278</v>
      </c>
      <c r="E198" s="6">
        <v>2137</v>
      </c>
      <c r="F198" s="6">
        <v>2286</v>
      </c>
      <c r="G198" s="7">
        <f t="shared" si="15"/>
        <v>-0.14197530864197527</v>
      </c>
      <c r="H198" s="13">
        <f t="shared" si="16"/>
        <v>6.4779025877605614E-3</v>
      </c>
      <c r="I198" s="7">
        <f t="shared" si="17"/>
        <v>6.9723912026204982E-2</v>
      </c>
      <c r="J198" s="22">
        <v>0.7036</v>
      </c>
      <c r="K198" s="20">
        <f t="shared" si="18"/>
        <v>2.8298891405599422E-2</v>
      </c>
      <c r="L198" s="7">
        <f t="shared" si="19"/>
        <v>-2.8298891405599422E-2</v>
      </c>
    </row>
    <row r="199" spans="2:12" x14ac:dyDescent="0.25">
      <c r="B199" s="5">
        <v>1246</v>
      </c>
      <c r="C199" s="6">
        <v>113</v>
      </c>
      <c r="D199" s="6">
        <v>103</v>
      </c>
      <c r="E199" s="6">
        <v>632</v>
      </c>
      <c r="F199" s="6">
        <v>769</v>
      </c>
      <c r="G199" s="7">
        <f t="shared" si="15"/>
        <v>-8.8495575221238965E-2</v>
      </c>
      <c r="H199" s="13">
        <f t="shared" si="16"/>
        <v>2.1791369597497249E-3</v>
      </c>
      <c r="I199" s="7">
        <f t="shared" si="17"/>
        <v>0.21677215189873422</v>
      </c>
      <c r="J199" s="22">
        <v>0.40880000000000005</v>
      </c>
      <c r="K199" s="20">
        <f t="shared" si="18"/>
        <v>3.0226740601092511E-2</v>
      </c>
      <c r="L199" s="7">
        <f t="shared" si="19"/>
        <v>-3.0226740601092511E-2</v>
      </c>
    </row>
    <row r="200" spans="2:12" x14ac:dyDescent="0.25">
      <c r="B200" s="5">
        <v>1174</v>
      </c>
      <c r="C200" s="6">
        <v>195</v>
      </c>
      <c r="D200" s="6">
        <v>169</v>
      </c>
      <c r="E200" s="6">
        <v>907</v>
      </c>
      <c r="F200" s="6">
        <v>965</v>
      </c>
      <c r="G200" s="7">
        <f t="shared" si="15"/>
        <v>-0.1333333333333333</v>
      </c>
      <c r="H200" s="13">
        <f t="shared" si="16"/>
        <v>2.7345476803101233E-3</v>
      </c>
      <c r="I200" s="7">
        <f t="shared" si="17"/>
        <v>6.3947078280044201E-2</v>
      </c>
      <c r="J200" s="22">
        <v>0.70510000000000006</v>
      </c>
      <c r="K200" s="20">
        <f t="shared" si="18"/>
        <v>3.2569889980050976E-2</v>
      </c>
      <c r="L200" s="7">
        <f t="shared" si="19"/>
        <v>-3.2569889980050976E-2</v>
      </c>
    </row>
    <row r="201" spans="2:12" x14ac:dyDescent="0.25">
      <c r="B201" s="5">
        <v>1187</v>
      </c>
      <c r="C201" s="6">
        <v>183</v>
      </c>
      <c r="D201" s="6">
        <v>162</v>
      </c>
      <c r="E201" s="6">
        <v>1055</v>
      </c>
      <c r="F201" s="6">
        <v>1151</v>
      </c>
      <c r="G201" s="7">
        <f t="shared" si="15"/>
        <v>-0.11475409836065575</v>
      </c>
      <c r="H201" s="13">
        <f t="shared" si="16"/>
        <v>3.2616211192092767E-3</v>
      </c>
      <c r="I201" s="7">
        <f t="shared" si="17"/>
        <v>9.099526066350716E-2</v>
      </c>
      <c r="J201" s="22">
        <v>0.70590000000000008</v>
      </c>
      <c r="K201" s="20">
        <f t="shared" si="18"/>
        <v>4.6621310217838663E-2</v>
      </c>
      <c r="L201" s="7">
        <f t="shared" si="19"/>
        <v>-4.6621310217838663E-2</v>
      </c>
    </row>
    <row r="202" spans="2:12" x14ac:dyDescent="0.25">
      <c r="B202" s="5">
        <v>1228</v>
      </c>
      <c r="C202" s="6">
        <v>1107</v>
      </c>
      <c r="D202" s="6">
        <v>1012</v>
      </c>
      <c r="E202" s="6">
        <v>5708</v>
      </c>
      <c r="F202" s="6">
        <v>6710</v>
      </c>
      <c r="G202" s="7">
        <f t="shared" si="15"/>
        <v>-8.5817524841915072E-2</v>
      </c>
      <c r="H202" s="13">
        <f t="shared" si="16"/>
        <v>1.9014315994695261E-2</v>
      </c>
      <c r="I202" s="7">
        <f t="shared" si="17"/>
        <v>0.17554309740714791</v>
      </c>
      <c r="J202" s="22">
        <v>0.5605</v>
      </c>
      <c r="K202" s="20">
        <f t="shared" si="18"/>
        <v>5.2990942234770036E-2</v>
      </c>
      <c r="L202" s="7">
        <f t="shared" si="19"/>
        <v>-5.2990942234770036E-2</v>
      </c>
    </row>
    <row r="203" spans="2:12" x14ac:dyDescent="0.25">
      <c r="B203" s="5">
        <v>1023</v>
      </c>
      <c r="C203" s="6">
        <v>118</v>
      </c>
      <c r="D203" s="6">
        <v>110</v>
      </c>
      <c r="E203" s="6">
        <v>454</v>
      </c>
      <c r="F203" s="6">
        <v>491</v>
      </c>
      <c r="G203" s="7">
        <f t="shared" si="15"/>
        <v>-6.7796610169491567E-2</v>
      </c>
      <c r="H203" s="13">
        <f t="shared" si="16"/>
        <v>1.3913605295671197E-3</v>
      </c>
      <c r="I203" s="7">
        <f t="shared" si="17"/>
        <v>8.1497797356828272E-2</v>
      </c>
      <c r="J203" s="22">
        <v>0.59200000000000008</v>
      </c>
      <c r="K203" s="20">
        <f t="shared" si="18"/>
        <v>5.6480517713422961E-2</v>
      </c>
      <c r="L203" s="7">
        <f t="shared" si="19"/>
        <v>-5.6480517713422961E-2</v>
      </c>
    </row>
    <row r="204" spans="2:12" x14ac:dyDescent="0.25">
      <c r="B204" s="5">
        <v>1040</v>
      </c>
      <c r="C204" s="6">
        <v>258</v>
      </c>
      <c r="D204" s="6">
        <v>247</v>
      </c>
      <c r="E204" s="6">
        <v>1145</v>
      </c>
      <c r="F204" s="6">
        <v>1281</v>
      </c>
      <c r="G204" s="7">
        <f t="shared" si="15"/>
        <v>-4.2635658914728647E-2</v>
      </c>
      <c r="H204" s="13">
        <f t="shared" si="16"/>
        <v>3.6300057808054589E-3</v>
      </c>
      <c r="I204" s="7">
        <f t="shared" si="17"/>
        <v>0.11877729257641922</v>
      </c>
      <c r="J204" s="22">
        <v>0.4929</v>
      </c>
      <c r="K204" s="20">
        <f t="shared" si="18"/>
        <v>6.0775834775925554E-2</v>
      </c>
      <c r="L204" s="7">
        <f t="shared" si="19"/>
        <v>-6.0775834775925554E-2</v>
      </c>
    </row>
    <row r="205" spans="2:12" x14ac:dyDescent="0.25">
      <c r="B205" s="5">
        <v>1034</v>
      </c>
      <c r="C205" s="6">
        <v>214</v>
      </c>
      <c r="D205" s="6">
        <v>205</v>
      </c>
      <c r="E205" s="6">
        <v>1005</v>
      </c>
      <c r="F205" s="6">
        <v>1108</v>
      </c>
      <c r="G205" s="7">
        <f t="shared" si="15"/>
        <v>-4.2056074766355089E-2</v>
      </c>
      <c r="H205" s="13">
        <f t="shared" si="16"/>
        <v>3.1397708080659237E-3</v>
      </c>
      <c r="I205" s="7">
        <f t="shared" si="17"/>
        <v>0.10248756218905464</v>
      </c>
      <c r="J205" s="22">
        <v>0.54280000000000006</v>
      </c>
      <c r="K205" s="20">
        <f t="shared" si="18"/>
        <v>6.6906076980302306E-2</v>
      </c>
      <c r="L205" s="7">
        <f t="shared" si="19"/>
        <v>-6.6906076980302306E-2</v>
      </c>
    </row>
    <row r="206" spans="2:12" x14ac:dyDescent="0.25">
      <c r="B206" s="5">
        <v>1284</v>
      </c>
      <c r="C206" s="6">
        <v>523</v>
      </c>
      <c r="D206" s="6">
        <v>507</v>
      </c>
      <c r="E206" s="6">
        <v>2765</v>
      </c>
      <c r="F206" s="6">
        <v>3038</v>
      </c>
      <c r="G206" s="7">
        <f t="shared" si="15"/>
        <v>-3.0592734225621365E-2</v>
      </c>
      <c r="H206" s="13">
        <f t="shared" si="16"/>
        <v>8.6088661686861707E-3</v>
      </c>
      <c r="I206" s="7">
        <f t="shared" si="17"/>
        <v>9.8734177215189955E-2</v>
      </c>
      <c r="J206" s="22">
        <v>0.49619999999999997</v>
      </c>
      <c r="K206" s="20">
        <f t="shared" si="18"/>
        <v>6.7239107111449092E-2</v>
      </c>
      <c r="L206" s="7">
        <f t="shared" si="19"/>
        <v>-6.7239107111449092E-2</v>
      </c>
    </row>
    <row r="207" spans="2:12" x14ac:dyDescent="0.25">
      <c r="B207" s="5">
        <v>1188</v>
      </c>
      <c r="C207" s="6">
        <v>169</v>
      </c>
      <c r="D207" s="6">
        <v>154</v>
      </c>
      <c r="E207" s="6">
        <v>1252</v>
      </c>
      <c r="F207" s="6">
        <v>1371</v>
      </c>
      <c r="G207" s="7">
        <f t="shared" si="15"/>
        <v>-8.8757396449704151E-2</v>
      </c>
      <c r="H207" s="13">
        <f t="shared" si="16"/>
        <v>3.8850413157566622E-3</v>
      </c>
      <c r="I207" s="7">
        <f t="shared" si="17"/>
        <v>9.5047923322683747E-2</v>
      </c>
      <c r="J207" s="22">
        <v>0.73970000000000002</v>
      </c>
      <c r="K207" s="20">
        <f t="shared" si="18"/>
        <v>6.7788110659809386E-2</v>
      </c>
      <c r="L207" s="7">
        <f t="shared" si="19"/>
        <v>-6.7788110659809386E-2</v>
      </c>
    </row>
    <row r="208" spans="2:12" x14ac:dyDescent="0.25">
      <c r="B208" s="5">
        <v>1186</v>
      </c>
      <c r="C208" s="6">
        <v>169</v>
      </c>
      <c r="D208" s="6">
        <v>157</v>
      </c>
      <c r="E208" s="6">
        <v>1082</v>
      </c>
      <c r="F208" s="6">
        <v>1159</v>
      </c>
      <c r="G208" s="7">
        <f t="shared" si="15"/>
        <v>-7.1005917159763343E-2</v>
      </c>
      <c r="H208" s="13">
        <f t="shared" si="16"/>
        <v>3.2842909445382723E-3</v>
      </c>
      <c r="I208" s="7">
        <f t="shared" si="17"/>
        <v>7.1164510166358497E-2</v>
      </c>
      <c r="J208" s="22">
        <v>0.7256999999999999</v>
      </c>
      <c r="K208" s="20">
        <f t="shared" si="18"/>
        <v>7.3860544362458563E-2</v>
      </c>
      <c r="L208" s="7">
        <f t="shared" si="19"/>
        <v>-7.3860544362458563E-2</v>
      </c>
    </row>
    <row r="209" spans="2:12" x14ac:dyDescent="0.25">
      <c r="B209" s="5">
        <v>1223</v>
      </c>
      <c r="C209" s="6">
        <v>182</v>
      </c>
      <c r="D209" s="6">
        <v>174</v>
      </c>
      <c r="E209" s="6">
        <v>1323</v>
      </c>
      <c r="F209" s="6">
        <v>1490</v>
      </c>
      <c r="G209" s="7">
        <f t="shared" si="15"/>
        <v>-4.3956043956043911E-2</v>
      </c>
      <c r="H209" s="13">
        <f t="shared" si="16"/>
        <v>4.2222549675254755E-3</v>
      </c>
      <c r="I209" s="7">
        <f t="shared" si="17"/>
        <v>0.12622826908541196</v>
      </c>
      <c r="J209" s="22">
        <v>0.68720000000000003</v>
      </c>
      <c r="K209" s="20">
        <f t="shared" si="18"/>
        <v>8.9962538780043677E-2</v>
      </c>
      <c r="L209" s="7">
        <f t="shared" si="19"/>
        <v>-8.9962538780043677E-2</v>
      </c>
    </row>
    <row r="210" spans="2:12" x14ac:dyDescent="0.25">
      <c r="B210" s="5">
        <v>1185</v>
      </c>
      <c r="C210" s="6">
        <v>232</v>
      </c>
      <c r="D210" s="6">
        <v>221</v>
      </c>
      <c r="E210" s="6">
        <v>1110</v>
      </c>
      <c r="F210" s="6">
        <v>1206</v>
      </c>
      <c r="G210" s="7">
        <f t="shared" si="15"/>
        <v>-4.7413793103448287E-2</v>
      </c>
      <c r="H210" s="13">
        <f t="shared" si="16"/>
        <v>3.4174761683461231E-3</v>
      </c>
      <c r="I210" s="7">
        <f t="shared" si="17"/>
        <v>8.6486486486486491E-2</v>
      </c>
      <c r="J210" s="22">
        <v>0.73180000000000012</v>
      </c>
      <c r="K210" s="20">
        <f t="shared" si="18"/>
        <v>9.0482994211831619E-2</v>
      </c>
      <c r="L210" s="7">
        <f t="shared" si="19"/>
        <v>-9.0482994211831619E-2</v>
      </c>
    </row>
    <row r="211" spans="2:12" x14ac:dyDescent="0.25">
      <c r="B211" s="5">
        <v>1224</v>
      </c>
      <c r="C211" s="6">
        <v>921</v>
      </c>
      <c r="D211" s="6">
        <v>891</v>
      </c>
      <c r="E211" s="6">
        <v>5638</v>
      </c>
      <c r="F211" s="6">
        <v>7344</v>
      </c>
      <c r="G211" s="7">
        <f t="shared" si="15"/>
        <v>-3.2573289902280145E-2</v>
      </c>
      <c r="H211" s="13">
        <f t="shared" si="16"/>
        <v>2.081089965201818E-2</v>
      </c>
      <c r="I211" s="7">
        <f t="shared" si="17"/>
        <v>0.30258957076977655</v>
      </c>
      <c r="J211" s="22">
        <v>0.58240000000000003</v>
      </c>
      <c r="K211" s="20">
        <f t="shared" si="18"/>
        <v>0.10119661808341231</v>
      </c>
      <c r="L211" s="7">
        <f t="shared" si="19"/>
        <v>-0.10119661808341231</v>
      </c>
    </row>
    <row r="212" spans="2:12" x14ac:dyDescent="0.25">
      <c r="B212" s="5">
        <v>1176</v>
      </c>
      <c r="C212" s="6">
        <v>128</v>
      </c>
      <c r="D212" s="6">
        <v>128</v>
      </c>
      <c r="E212" s="6">
        <v>618</v>
      </c>
      <c r="F212" s="6">
        <v>657</v>
      </c>
      <c r="G212" s="7">
        <f t="shared" si="15"/>
        <v>0</v>
      </c>
      <c r="H212" s="13">
        <f t="shared" si="16"/>
        <v>1.8617594051437833E-3</v>
      </c>
      <c r="I212" s="7">
        <f t="shared" si="17"/>
        <v>6.3106796116504826E-2</v>
      </c>
      <c r="J212" s="22">
        <v>0.64019999999999999</v>
      </c>
      <c r="K212" s="20">
        <f t="shared" si="18"/>
        <v>0.10261994352242204</v>
      </c>
      <c r="L212" s="7">
        <f t="shared" si="19"/>
        <v>-0.10261994352242204</v>
      </c>
    </row>
    <row r="213" spans="2:12" x14ac:dyDescent="0.25">
      <c r="B213" s="5">
        <v>2692</v>
      </c>
      <c r="C213" s="6">
        <v>576</v>
      </c>
      <c r="D213" s="6">
        <v>577</v>
      </c>
      <c r="E213" s="6">
        <v>2951</v>
      </c>
      <c r="F213" s="6">
        <v>5002</v>
      </c>
      <c r="G213" s="7">
        <f t="shared" si="15"/>
        <v>1.7361111111111605E-3</v>
      </c>
      <c r="H213" s="13">
        <f t="shared" si="16"/>
        <v>1.4174308286954649E-2</v>
      </c>
      <c r="I213" s="7">
        <f t="shared" si="17"/>
        <v>0.69501863774991524</v>
      </c>
      <c r="J213" s="22">
        <v>0.32270000000000004</v>
      </c>
      <c r="K213" s="20">
        <f t="shared" si="18"/>
        <v>0.12107467668470143</v>
      </c>
      <c r="L213" s="7">
        <f t="shared" si="19"/>
        <v>-0.12107467668470143</v>
      </c>
    </row>
    <row r="214" spans="2:12" x14ac:dyDescent="0.25">
      <c r="B214" s="16">
        <v>1167</v>
      </c>
      <c r="C214" s="17">
        <v>1070</v>
      </c>
      <c r="D214" s="17">
        <v>464</v>
      </c>
      <c r="E214" s="17">
        <v>872</v>
      </c>
      <c r="F214" s="17">
        <v>2995</v>
      </c>
      <c r="G214" s="18">
        <f t="shared" si="15"/>
        <v>-0.56635514018691591</v>
      </c>
      <c r="H214" s="19">
        <f t="shared" si="16"/>
        <v>8.4870158575428168E-3</v>
      </c>
      <c r="I214" s="18">
        <f t="shared" si="17"/>
        <v>2.4346330275229358</v>
      </c>
      <c r="J214" s="19">
        <v>1.4874000000000001</v>
      </c>
      <c r="K214" s="20">
        <f t="shared" si="18"/>
        <v>0.12803327101877543</v>
      </c>
      <c r="L214" s="7">
        <f t="shared" si="19"/>
        <v>-0.12803327101877543</v>
      </c>
    </row>
    <row r="215" spans="2:12" x14ac:dyDescent="0.25">
      <c r="B215" s="16">
        <v>1076</v>
      </c>
      <c r="C215" s="17">
        <v>1003</v>
      </c>
      <c r="D215" s="17">
        <v>572</v>
      </c>
      <c r="E215" s="17">
        <v>1178</v>
      </c>
      <c r="F215" s="17">
        <v>3348</v>
      </c>
      <c r="G215" s="18">
        <f t="shared" si="15"/>
        <v>-0.42971086739780662</v>
      </c>
      <c r="H215" s="19">
        <f t="shared" si="16"/>
        <v>9.4873219001847583E-3</v>
      </c>
      <c r="I215" s="18">
        <f t="shared" si="17"/>
        <v>1.8421052631578947</v>
      </c>
      <c r="J215" s="19">
        <v>1.4369000000000001</v>
      </c>
      <c r="K215" s="20">
        <f t="shared" si="18"/>
        <v>0.14334210416213325</v>
      </c>
      <c r="L215" s="7">
        <f t="shared" si="19"/>
        <v>-0.14334210416213325</v>
      </c>
    </row>
    <row r="216" spans="2:12" x14ac:dyDescent="0.25">
      <c r="B216" s="5">
        <v>1180</v>
      </c>
      <c r="C216" s="6">
        <v>57</v>
      </c>
      <c r="D216" s="6">
        <v>60</v>
      </c>
      <c r="E216" s="6">
        <v>356</v>
      </c>
      <c r="F216" s="6">
        <v>411</v>
      </c>
      <c r="G216" s="7">
        <f t="shared" si="15"/>
        <v>5.2631578947368363E-2</v>
      </c>
      <c r="H216" s="13">
        <f t="shared" si="16"/>
        <v>1.1646622762771612E-3</v>
      </c>
      <c r="I216" s="7">
        <f t="shared" si="17"/>
        <v>0.15449438202247201</v>
      </c>
      <c r="J216" s="22">
        <v>0.64959999999999996</v>
      </c>
      <c r="K216" s="20">
        <f t="shared" si="18"/>
        <v>0.14464308491210978</v>
      </c>
      <c r="L216" s="7">
        <f t="shared" si="19"/>
        <v>-0.14464308491210978</v>
      </c>
    </row>
    <row r="217" spans="2:12" x14ac:dyDescent="0.25">
      <c r="B217" s="5">
        <v>1269</v>
      </c>
      <c r="C217" s="6">
        <v>142</v>
      </c>
      <c r="D217" s="6">
        <v>165</v>
      </c>
      <c r="E217" s="6">
        <v>1436</v>
      </c>
      <c r="F217" s="6">
        <v>1801</v>
      </c>
      <c r="G217" s="7">
        <f t="shared" si="15"/>
        <v>0.1619718309859155</v>
      </c>
      <c r="H217" s="13">
        <f t="shared" si="16"/>
        <v>5.1035444271901884E-3</v>
      </c>
      <c r="I217" s="7">
        <f t="shared" si="17"/>
        <v>0.25417827298050133</v>
      </c>
      <c r="J217" s="22">
        <v>0.24390000000000001</v>
      </c>
      <c r="K217" s="20">
        <f t="shared" si="18"/>
        <v>0.15995145755367796</v>
      </c>
      <c r="L217" s="7">
        <f t="shared" si="19"/>
        <v>-0.15995145755367796</v>
      </c>
    </row>
    <row r="218" spans="2:12" x14ac:dyDescent="0.25">
      <c r="B218" s="16">
        <v>1178</v>
      </c>
      <c r="C218" s="17">
        <v>914</v>
      </c>
      <c r="D218" s="17">
        <v>494</v>
      </c>
      <c r="E218" s="17">
        <v>972</v>
      </c>
      <c r="F218" s="17">
        <v>3123</v>
      </c>
      <c r="G218" s="18">
        <f t="shared" si="15"/>
        <v>-0.45951859956236318</v>
      </c>
      <c r="H218" s="19">
        <f t="shared" si="16"/>
        <v>8.8497330628067514E-3</v>
      </c>
      <c r="I218" s="18">
        <f t="shared" si="17"/>
        <v>2.2129629629629628</v>
      </c>
      <c r="J218" s="19">
        <v>1.595</v>
      </c>
      <c r="K218" s="20">
        <f t="shared" si="18"/>
        <v>0.18616259651829942</v>
      </c>
      <c r="L218" s="7">
        <f t="shared" si="19"/>
        <v>-0.18616259651829942</v>
      </c>
    </row>
    <row r="219" spans="2:12" x14ac:dyDescent="0.25">
      <c r="B219" s="5">
        <v>1276</v>
      </c>
      <c r="C219" s="6">
        <v>167</v>
      </c>
      <c r="D219" s="6">
        <v>210</v>
      </c>
      <c r="E219" s="6">
        <v>1809</v>
      </c>
      <c r="F219" s="6">
        <v>2010</v>
      </c>
      <c r="G219" s="7">
        <f t="shared" si="15"/>
        <v>0.25748502994011968</v>
      </c>
      <c r="H219" s="13">
        <f t="shared" si="16"/>
        <v>5.695793613910205E-3</v>
      </c>
      <c r="I219" s="7">
        <f t="shared" si="17"/>
        <v>0.11111111111111116</v>
      </c>
      <c r="J219" s="22">
        <v>0.35979999999999995</v>
      </c>
      <c r="K219" s="20">
        <f t="shared" si="18"/>
        <v>0.22042649811726944</v>
      </c>
      <c r="L219" s="7">
        <f t="shared" si="19"/>
        <v>-0.22042649811726944</v>
      </c>
    </row>
    <row r="220" spans="2:12" x14ac:dyDescent="0.25">
      <c r="B220" s="5">
        <v>1279</v>
      </c>
      <c r="C220" s="6">
        <v>104</v>
      </c>
      <c r="D220" s="6">
        <v>133</v>
      </c>
      <c r="E220" s="6">
        <v>971</v>
      </c>
      <c r="F220" s="6">
        <v>1142</v>
      </c>
      <c r="G220" s="7">
        <f t="shared" si="15"/>
        <v>0.27884615384615374</v>
      </c>
      <c r="H220" s="13">
        <f t="shared" si="16"/>
        <v>3.2361175657141562E-3</v>
      </c>
      <c r="I220" s="7">
        <f t="shared" si="17"/>
        <v>0.17610710607621005</v>
      </c>
      <c r="J220" s="22">
        <v>0.36719999999999997</v>
      </c>
      <c r="K220" s="20">
        <f t="shared" si="18"/>
        <v>0.24048382055017037</v>
      </c>
      <c r="L220" s="7">
        <f t="shared" si="19"/>
        <v>-0.24048382055017037</v>
      </c>
    </row>
    <row r="221" spans="2:12" x14ac:dyDescent="0.25">
      <c r="B221" s="5">
        <v>1274</v>
      </c>
      <c r="C221" s="6">
        <v>29</v>
      </c>
      <c r="D221" s="6">
        <v>41</v>
      </c>
      <c r="E221" s="6">
        <v>202</v>
      </c>
      <c r="F221" s="6">
        <v>250</v>
      </c>
      <c r="G221" s="7">
        <f t="shared" si="15"/>
        <v>0.4137931034482758</v>
      </c>
      <c r="H221" s="13">
        <f t="shared" si="16"/>
        <v>7.0843204153111996E-4</v>
      </c>
      <c r="I221" s="7">
        <f t="shared" si="17"/>
        <v>0.23762376237623761</v>
      </c>
      <c r="J221" s="22">
        <v>0.40479999999999999</v>
      </c>
      <c r="K221" s="20">
        <f t="shared" si="18"/>
        <v>0.3328645031128189</v>
      </c>
      <c r="L221" s="7">
        <f t="shared" si="19"/>
        <v>-0.3328645031128189</v>
      </c>
    </row>
    <row r="222" spans="2:12" x14ac:dyDescent="0.25">
      <c r="B222" s="5">
        <v>1184</v>
      </c>
      <c r="C222" s="6">
        <v>158</v>
      </c>
      <c r="D222" s="6">
        <v>226</v>
      </c>
      <c r="E222" s="6">
        <v>1341</v>
      </c>
      <c r="F222" s="6">
        <v>1432</v>
      </c>
      <c r="G222" s="7">
        <f t="shared" si="15"/>
        <v>0.43037974683544311</v>
      </c>
      <c r="H222" s="13">
        <f t="shared" si="16"/>
        <v>4.0578987338902557E-3</v>
      </c>
      <c r="I222" s="7">
        <f t="shared" si="17"/>
        <v>6.785980611483966E-2</v>
      </c>
      <c r="J222" s="22">
        <v>0.58799999999999997</v>
      </c>
      <c r="K222" s="20">
        <f t="shared" si="18"/>
        <v>0.35382251352283334</v>
      </c>
      <c r="L222" s="7">
        <f t="shared" si="19"/>
        <v>-0.35382251352283334</v>
      </c>
    </row>
    <row r="223" spans="2:12" x14ac:dyDescent="0.25">
      <c r="B223" s="5">
        <v>1280</v>
      </c>
      <c r="C223" s="6">
        <v>144</v>
      </c>
      <c r="D223" s="6">
        <v>221</v>
      </c>
      <c r="E223" s="6">
        <v>1452</v>
      </c>
      <c r="F223" s="6">
        <v>1660</v>
      </c>
      <c r="G223" s="7">
        <f t="shared" si="15"/>
        <v>0.53472222222222232</v>
      </c>
      <c r="H223" s="13">
        <f t="shared" si="16"/>
        <v>4.7039887557666369E-3</v>
      </c>
      <c r="I223" s="7">
        <f t="shared" si="17"/>
        <v>0.14325068870523405</v>
      </c>
      <c r="J223" s="22">
        <v>0.44600000000000001</v>
      </c>
      <c r="K223" s="20">
        <f t="shared" si="18"/>
        <v>0.40276400051722178</v>
      </c>
      <c r="L223" s="7">
        <f t="shared" si="19"/>
        <v>-0.40276400051722178</v>
      </c>
    </row>
    <row r="224" spans="2:12" x14ac:dyDescent="0.25">
      <c r="B224" s="5">
        <v>1273</v>
      </c>
      <c r="C224" s="6">
        <v>89</v>
      </c>
      <c r="D224" s="6">
        <v>160</v>
      </c>
      <c r="E224" s="6">
        <v>1157</v>
      </c>
      <c r="F224" s="6">
        <v>1327</v>
      </c>
      <c r="G224" s="7">
        <f t="shared" si="15"/>
        <v>0.797752808988764</v>
      </c>
      <c r="H224" s="13">
        <f t="shared" si="16"/>
        <v>3.7603572764471848E-3</v>
      </c>
      <c r="I224" s="7">
        <f t="shared" si="17"/>
        <v>0.14693171996542786</v>
      </c>
      <c r="J224" s="22">
        <v>0.35049999999999998</v>
      </c>
      <c r="K224" s="20">
        <f t="shared" si="18"/>
        <v>0.54648391098126825</v>
      </c>
      <c r="L224" s="7">
        <f t="shared" si="19"/>
        <v>-0.54648391098126825</v>
      </c>
    </row>
    <row r="225" spans="5:10" x14ac:dyDescent="0.25">
      <c r="E225" s="12">
        <f>SUM(E3:E224)</f>
        <v>309830</v>
      </c>
      <c r="F225" s="12">
        <f>SUM(F3:F224)</f>
        <v>352892</v>
      </c>
      <c r="J225" s="14">
        <v>52.703967346938768</v>
      </c>
    </row>
  </sheetData>
  <autoFilter ref="B2:K2" xr:uid="{9D1B8B42-FC89-471B-ACAC-A11277198F7F}">
    <sortState xmlns:xlrd2="http://schemas.microsoft.com/office/spreadsheetml/2017/richdata2" ref="B3:K225">
      <sortCondition ref="K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A3A9-8886-46E0-A686-15DF917D5452}">
  <dimension ref="B2:L132"/>
  <sheetViews>
    <sheetView tabSelected="1" workbookViewId="0">
      <selection activeCell="M3" sqref="M3"/>
    </sheetView>
  </sheetViews>
  <sheetFormatPr baseColWidth="10" defaultRowHeight="15" x14ac:dyDescent="0.25"/>
  <cols>
    <col min="7" max="8" width="14.85546875" customWidth="1"/>
    <col min="9" max="9" width="12.28515625" customWidth="1"/>
    <col min="10" max="10" width="12.5703125" customWidth="1"/>
  </cols>
  <sheetData>
    <row r="2" spans="2:12" ht="75" x14ac:dyDescent="0.25">
      <c r="B2" s="11" t="s">
        <v>3</v>
      </c>
      <c r="C2" s="11" t="s">
        <v>4</v>
      </c>
      <c r="D2" s="11" t="s">
        <v>5</v>
      </c>
      <c r="E2" s="11" t="s">
        <v>1</v>
      </c>
      <c r="F2" s="11" t="s">
        <v>2</v>
      </c>
      <c r="G2" s="15" t="s">
        <v>7</v>
      </c>
      <c r="H2" s="15" t="s">
        <v>169</v>
      </c>
      <c r="I2" s="15" t="s">
        <v>6</v>
      </c>
      <c r="J2" s="15" t="s">
        <v>9</v>
      </c>
      <c r="K2" s="23" t="s">
        <v>10</v>
      </c>
      <c r="L2" s="15" t="s">
        <v>165</v>
      </c>
    </row>
    <row r="3" spans="2:12" x14ac:dyDescent="0.25">
      <c r="B3" s="34">
        <v>1017</v>
      </c>
      <c r="C3" s="27">
        <v>195</v>
      </c>
      <c r="D3" s="27"/>
      <c r="E3" s="27">
        <v>689</v>
      </c>
      <c r="F3" s="27"/>
      <c r="G3" s="35">
        <f>(D3/C3)-1</f>
        <v>-1</v>
      </c>
      <c r="H3" s="36">
        <f>F3/$F$132</f>
        <v>0</v>
      </c>
      <c r="I3" s="35">
        <f>(F3/E3-1)</f>
        <v>-1</v>
      </c>
      <c r="J3" s="35">
        <v>0</v>
      </c>
      <c r="K3" s="35">
        <f>(G3*0.6)+(H3*0.15)+(I3*0.1)+(J3*0.15)</f>
        <v>-0.7</v>
      </c>
      <c r="L3" s="35">
        <f>K3*-1</f>
        <v>0.7</v>
      </c>
    </row>
    <row r="4" spans="2:12" x14ac:dyDescent="0.25">
      <c r="B4" s="27">
        <v>954</v>
      </c>
      <c r="C4" s="27">
        <v>411</v>
      </c>
      <c r="D4" s="27">
        <v>108</v>
      </c>
      <c r="E4" s="27">
        <v>1531</v>
      </c>
      <c r="F4" s="27">
        <v>545</v>
      </c>
      <c r="G4" s="35">
        <f>(D4/C4)-1</f>
        <v>-0.73722627737226276</v>
      </c>
      <c r="H4" s="36">
        <f>F4/$F$132</f>
        <v>1.7942032420758768E-3</v>
      </c>
      <c r="I4" s="35">
        <f>(F4/E4-1)</f>
        <v>-0.64402351404310909</v>
      </c>
      <c r="J4" s="35">
        <v>0.48070000000000002</v>
      </c>
      <c r="K4" s="35">
        <f>(G4*0.6)+(H4*0.15)+(I4*0.1)+(J4*0.15)</f>
        <v>-0.43436398734135717</v>
      </c>
      <c r="L4" s="35">
        <f>K4*-1</f>
        <v>0.43436398734135717</v>
      </c>
    </row>
    <row r="5" spans="2:12" x14ac:dyDescent="0.25">
      <c r="B5" s="27">
        <v>1058</v>
      </c>
      <c r="C5" s="27">
        <v>388</v>
      </c>
      <c r="D5" s="27">
        <v>137</v>
      </c>
      <c r="E5" s="27">
        <v>1459</v>
      </c>
      <c r="F5" s="27">
        <v>738</v>
      </c>
      <c r="G5" s="35">
        <f>(D5/C5)-1</f>
        <v>-0.64690721649484528</v>
      </c>
      <c r="H5" s="36">
        <f>F5/$F$132</f>
        <v>2.4295816378935723E-3</v>
      </c>
      <c r="I5" s="35">
        <f>(F5/E5-1)</f>
        <v>-0.49417409184372862</v>
      </c>
      <c r="J5" s="35">
        <v>0.42409999999999998</v>
      </c>
      <c r="K5" s="35">
        <f>(G5*0.6)+(H5*0.15)+(I5*0.1)+(J5*0.15)</f>
        <v>-0.37358230183559604</v>
      </c>
      <c r="L5" s="35">
        <f>K5*-1</f>
        <v>0.37358230183559604</v>
      </c>
    </row>
    <row r="6" spans="2:12" x14ac:dyDescent="0.25">
      <c r="B6" s="27">
        <v>959</v>
      </c>
      <c r="C6" s="27">
        <v>285</v>
      </c>
      <c r="D6" s="27">
        <v>103</v>
      </c>
      <c r="E6" s="27">
        <v>1167</v>
      </c>
      <c r="F6" s="27">
        <v>574</v>
      </c>
      <c r="G6" s="35">
        <f>(D6/C6)-1</f>
        <v>-0.63859649122807016</v>
      </c>
      <c r="H6" s="36">
        <f>F6/$F$132</f>
        <v>1.8896746072505563E-3</v>
      </c>
      <c r="I6" s="35">
        <f>(F6/E6-1)</f>
        <v>-0.50814053127677805</v>
      </c>
      <c r="J6" s="35">
        <v>0.46520000000000006</v>
      </c>
      <c r="K6" s="35">
        <f>(G6*0.6)+(H6*0.15)+(I6*0.1)+(J6*0.15)</f>
        <v>-0.36390849667343234</v>
      </c>
      <c r="L6" s="35">
        <f>K6*-1</f>
        <v>0.36390849667343234</v>
      </c>
    </row>
    <row r="7" spans="2:12" x14ac:dyDescent="0.25">
      <c r="B7" s="27">
        <v>1004</v>
      </c>
      <c r="C7" s="27">
        <v>306</v>
      </c>
      <c r="D7" s="27">
        <v>112</v>
      </c>
      <c r="E7" s="27">
        <v>1087</v>
      </c>
      <c r="F7" s="27">
        <v>539</v>
      </c>
      <c r="G7" s="35">
        <f>(D7/C7)-1</f>
        <v>-0.63398692810457513</v>
      </c>
      <c r="H7" s="36">
        <f>F7/$F$132</f>
        <v>1.7744505458328395E-3</v>
      </c>
      <c r="I7" s="35">
        <f>(F7/E7-1)</f>
        <v>-0.50413983440662369</v>
      </c>
      <c r="J7" s="35">
        <v>0.50649999999999995</v>
      </c>
      <c r="K7" s="35">
        <f>(G7*0.6)+(H7*0.15)+(I7*0.1)+(J7*0.15)</f>
        <v>-0.35456497272153253</v>
      </c>
      <c r="L7" s="35">
        <f>K7*-1</f>
        <v>0.35456497272153253</v>
      </c>
    </row>
    <row r="8" spans="2:12" x14ac:dyDescent="0.25">
      <c r="B8" s="27">
        <v>1218</v>
      </c>
      <c r="C8" s="27">
        <v>412</v>
      </c>
      <c r="D8" s="27">
        <v>177</v>
      </c>
      <c r="E8" s="27">
        <v>1554</v>
      </c>
      <c r="F8" s="27">
        <v>1573</v>
      </c>
      <c r="G8" s="35">
        <f>(D8/C8)-1</f>
        <v>-0.57038834951456319</v>
      </c>
      <c r="H8" s="36">
        <f>F8/$F$132</f>
        <v>5.1784985317162458E-3</v>
      </c>
      <c r="I8" s="35">
        <f>(F8/E8-1)</f>
        <v>1.2226512226512165E-2</v>
      </c>
      <c r="J8" s="35">
        <v>0.42149999999999999</v>
      </c>
      <c r="K8" s="35">
        <f>(G8*0.6)+(H8*0.15)+(I8*0.1)+(J8*0.15)</f>
        <v>-0.27700858370632925</v>
      </c>
      <c r="L8" s="35">
        <f>K8*-1</f>
        <v>0.27700858370632925</v>
      </c>
    </row>
    <row r="9" spans="2:12" x14ac:dyDescent="0.25">
      <c r="B9" s="27">
        <v>2677</v>
      </c>
      <c r="C9" s="27">
        <v>168</v>
      </c>
      <c r="D9" s="27">
        <v>88</v>
      </c>
      <c r="E9" s="27">
        <v>1100</v>
      </c>
      <c r="F9" s="27">
        <v>1154</v>
      </c>
      <c r="G9" s="35">
        <f>(D9/C9)-1</f>
        <v>-0.47619047619047616</v>
      </c>
      <c r="H9" s="36">
        <f>F9/$F$132</f>
        <v>3.7991019107441498E-3</v>
      </c>
      <c r="I9" s="35">
        <f>(F9/E9-1)</f>
        <v>4.9090909090909074E-2</v>
      </c>
      <c r="J9" s="35">
        <v>0.26950000000000002</v>
      </c>
      <c r="K9" s="35">
        <f>(G9*0.6)+(H9*0.15)+(I9*0.1)+(J9*0.15)</f>
        <v>-0.23981032951858317</v>
      </c>
      <c r="L9" s="35">
        <f>K9*-1</f>
        <v>0.23981032951858317</v>
      </c>
    </row>
    <row r="10" spans="2:12" x14ac:dyDescent="0.25">
      <c r="B10" s="27">
        <v>1197</v>
      </c>
      <c r="C10" s="27">
        <v>663</v>
      </c>
      <c r="D10" s="27">
        <v>370</v>
      </c>
      <c r="E10" s="27">
        <v>3118</v>
      </c>
      <c r="F10" s="27">
        <v>3254</v>
      </c>
      <c r="G10" s="35">
        <f>(D10/C10)-1</f>
        <v>-0.44193061840120662</v>
      </c>
      <c r="H10" s="36">
        <f>F10/$F$132</f>
        <v>1.0712545595807161E-2</v>
      </c>
      <c r="I10" s="35">
        <f>(F10/E10-1)</f>
        <v>4.3617703656189777E-2</v>
      </c>
      <c r="J10" s="35">
        <v>0.3503</v>
      </c>
      <c r="K10" s="35">
        <f>(G10*0.6)+(H10*0.15)+(I10*0.1)+(J10*0.15)</f>
        <v>-0.20664471883573393</v>
      </c>
      <c r="L10" s="35">
        <f>K10*-1</f>
        <v>0.20664471883573393</v>
      </c>
    </row>
    <row r="11" spans="2:12" x14ac:dyDescent="0.25">
      <c r="B11" s="27">
        <v>1060</v>
      </c>
      <c r="C11" s="27">
        <v>1474</v>
      </c>
      <c r="D11" s="27">
        <v>674</v>
      </c>
      <c r="E11" s="27">
        <v>2305</v>
      </c>
      <c r="F11" s="27">
        <v>1778</v>
      </c>
      <c r="G11" s="35">
        <f>(D11/C11)-1</f>
        <v>-0.54274084124830391</v>
      </c>
      <c r="H11" s="36">
        <f>F11/$F$132</f>
        <v>5.8533823200200164E-3</v>
      </c>
      <c r="I11" s="35">
        <f>(F11/E11-1)</f>
        <v>-0.22863340563991319</v>
      </c>
      <c r="J11" s="35">
        <v>0.95730000000000004</v>
      </c>
      <c r="K11" s="35">
        <f>(G11*0.6)+(H11*0.15)+(I11*0.1)+(J11*0.15)</f>
        <v>-0.2040348379649706</v>
      </c>
      <c r="L11" s="35">
        <f>K11*-1</f>
        <v>0.2040348379649706</v>
      </c>
    </row>
    <row r="12" spans="2:12" x14ac:dyDescent="0.25">
      <c r="B12" s="27">
        <v>1209</v>
      </c>
      <c r="C12" s="27">
        <v>389</v>
      </c>
      <c r="D12" s="27">
        <v>219</v>
      </c>
      <c r="E12" s="27">
        <v>1559</v>
      </c>
      <c r="F12" s="27">
        <v>1565</v>
      </c>
      <c r="G12" s="35">
        <f>(D12/C12)-1</f>
        <v>-0.43701799485861181</v>
      </c>
      <c r="H12" s="36">
        <f>F12/$F$132</f>
        <v>5.1521616033921962E-3</v>
      </c>
      <c r="I12" s="35">
        <f>(F12/E12-1)</f>
        <v>3.8486209108403724E-3</v>
      </c>
      <c r="J12" s="35">
        <v>0.4032</v>
      </c>
      <c r="K12" s="35">
        <f>(G12*0.6)+(H12*0.15)+(I12*0.1)+(J12*0.15)</f>
        <v>-0.20057311058357422</v>
      </c>
      <c r="L12" s="35">
        <f>K12*-1</f>
        <v>0.20057311058357422</v>
      </c>
    </row>
    <row r="13" spans="2:12" x14ac:dyDescent="0.25">
      <c r="B13" s="27">
        <v>1251</v>
      </c>
      <c r="C13" s="27">
        <v>252</v>
      </c>
      <c r="D13" s="27">
        <v>153</v>
      </c>
      <c r="E13" s="27">
        <v>1880</v>
      </c>
      <c r="F13" s="27">
        <v>1908</v>
      </c>
      <c r="G13" s="35">
        <f>(D13/C13)-1</f>
        <v>-0.3928571428571429</v>
      </c>
      <c r="H13" s="36">
        <f>F13/$F$132</f>
        <v>6.2813574052858218E-3</v>
      </c>
      <c r="I13" s="35">
        <f>(F13/E13-1)</f>
        <v>1.4893617021276562E-2</v>
      </c>
      <c r="J13" s="35">
        <v>0.35060000000000002</v>
      </c>
      <c r="K13" s="35">
        <f>(G13*0.6)+(H13*0.15)+(I13*0.1)+(J13*0.15)</f>
        <v>-0.18069272040136522</v>
      </c>
      <c r="L13" s="35">
        <f>K13*-1</f>
        <v>0.18069272040136522</v>
      </c>
    </row>
    <row r="14" spans="2:12" x14ac:dyDescent="0.25">
      <c r="B14" s="27">
        <v>1193</v>
      </c>
      <c r="C14" s="27">
        <v>1195</v>
      </c>
      <c r="D14" s="27">
        <v>724</v>
      </c>
      <c r="E14" s="27">
        <v>6319</v>
      </c>
      <c r="F14" s="27">
        <v>6708</v>
      </c>
      <c r="G14" s="35">
        <f>(D14/C14)-1</f>
        <v>-0.39414225941422598</v>
      </c>
      <c r="H14" s="36">
        <f>F14/$F$132</f>
        <v>2.2083514399715561E-2</v>
      </c>
      <c r="I14" s="35">
        <f>(F14/E14-1)</f>
        <v>6.1560373476815977E-2</v>
      </c>
      <c r="J14" s="35">
        <v>0.33119999999999999</v>
      </c>
      <c r="K14" s="35">
        <f>(G14*0.6)+(H14*0.15)+(I14*0.1)+(J14*0.15)</f>
        <v>-0.17733679114089662</v>
      </c>
      <c r="L14" s="35">
        <f>K14*-1</f>
        <v>0.17733679114089662</v>
      </c>
    </row>
    <row r="15" spans="2:12" x14ac:dyDescent="0.25">
      <c r="B15" s="27">
        <v>949</v>
      </c>
      <c r="C15" s="27">
        <v>677</v>
      </c>
      <c r="D15" s="27">
        <v>435</v>
      </c>
      <c r="E15" s="27">
        <v>3112</v>
      </c>
      <c r="F15" s="27">
        <v>2567</v>
      </c>
      <c r="G15" s="35">
        <f>(D15/C15)-1</f>
        <v>-0.35745937961595275</v>
      </c>
      <c r="H15" s="36">
        <f>F15/$F$132</f>
        <v>8.4508618759794041E-3</v>
      </c>
      <c r="I15" s="35">
        <f>(F15/E15-1)</f>
        <v>-0.17512853470437018</v>
      </c>
      <c r="J15" s="35">
        <v>0.38179999999999997</v>
      </c>
      <c r="K15" s="35">
        <f>(G15*0.6)+(H15*0.15)+(I15*0.1)+(J15*0.15)</f>
        <v>-0.17345085195861179</v>
      </c>
      <c r="L15" s="35">
        <f>K15*-1</f>
        <v>0.17345085195861179</v>
      </c>
    </row>
    <row r="16" spans="2:12" x14ac:dyDescent="0.25">
      <c r="B16" s="27">
        <v>1253</v>
      </c>
      <c r="C16" s="27">
        <v>62</v>
      </c>
      <c r="D16" s="27">
        <v>39</v>
      </c>
      <c r="E16" s="27">
        <v>849</v>
      </c>
      <c r="F16" s="27">
        <v>879</v>
      </c>
      <c r="G16" s="35">
        <f>(D16/C16)-1</f>
        <v>-0.37096774193548387</v>
      </c>
      <c r="H16" s="36">
        <f>F16/$F$132</f>
        <v>2.8937699996049462E-3</v>
      </c>
      <c r="I16" s="35">
        <f>(F16/E16-1)</f>
        <v>3.5335689045936425E-2</v>
      </c>
      <c r="J16" s="35">
        <v>0.31629999999999997</v>
      </c>
      <c r="K16" s="35">
        <f>(G16*0.6)+(H16*0.15)+(I16*0.1)+(J16*0.15)</f>
        <v>-0.17116801075675595</v>
      </c>
      <c r="L16" s="35">
        <f>K16*-1</f>
        <v>0.17116801075675595</v>
      </c>
    </row>
    <row r="17" spans="2:12" x14ac:dyDescent="0.25">
      <c r="B17" s="27">
        <v>941</v>
      </c>
      <c r="C17" s="27">
        <v>300</v>
      </c>
      <c r="D17" s="27">
        <v>196</v>
      </c>
      <c r="E17" s="27">
        <v>1227</v>
      </c>
      <c r="F17" s="27">
        <v>1268</v>
      </c>
      <c r="G17" s="35">
        <f>(D17/C17)-1</f>
        <v>-0.34666666666666668</v>
      </c>
      <c r="H17" s="36">
        <f>F17/$F$132</f>
        <v>4.1744031393618564E-3</v>
      </c>
      <c r="I17" s="35">
        <f>(F17/E17-1)</f>
        <v>3.3414832925835469E-2</v>
      </c>
      <c r="J17" s="35">
        <v>0.43609999999999999</v>
      </c>
      <c r="K17" s="35">
        <f>(G17*0.6)+(H17*0.15)+(I17*0.1)+(J17*0.15)</f>
        <v>-0.13861735623651217</v>
      </c>
      <c r="L17" s="35">
        <f>K17*-1</f>
        <v>0.13861735623651217</v>
      </c>
    </row>
    <row r="18" spans="2:12" x14ac:dyDescent="0.25">
      <c r="B18" s="27">
        <v>1283</v>
      </c>
      <c r="C18" s="27">
        <v>1524</v>
      </c>
      <c r="D18" s="27" t="s">
        <v>164</v>
      </c>
      <c r="E18" s="27">
        <v>6360</v>
      </c>
      <c r="F18" s="27">
        <v>6584</v>
      </c>
      <c r="G18" s="35">
        <f>(D18/C18)-1</f>
        <v>-0.32545931758530189</v>
      </c>
      <c r="H18" s="36">
        <f>F18/$F$132</f>
        <v>2.1675292010692793E-2</v>
      </c>
      <c r="I18" s="35">
        <f>(F18/E18-1)</f>
        <v>3.5220125786163514E-2</v>
      </c>
      <c r="J18" s="35">
        <v>0.41340000000000005</v>
      </c>
      <c r="K18" s="35">
        <f>(G18*0.6)+(H18*0.15)+(I18*0.1)+(J18*0.15)</f>
        <v>-0.12649228417096087</v>
      </c>
      <c r="L18" s="35">
        <f>K18*-1</f>
        <v>0.12649228417096087</v>
      </c>
    </row>
    <row r="19" spans="2:12" x14ac:dyDescent="0.25">
      <c r="B19" s="27">
        <v>1000</v>
      </c>
      <c r="C19" s="27">
        <v>220</v>
      </c>
      <c r="D19" s="27">
        <v>146</v>
      </c>
      <c r="E19" s="27">
        <v>836</v>
      </c>
      <c r="F19" s="27">
        <v>850</v>
      </c>
      <c r="G19" s="35">
        <f>(D19/C19)-1</f>
        <v>-0.33636363636363631</v>
      </c>
      <c r="H19" s="36">
        <f>F19/$F$132</f>
        <v>2.7982986344302664E-3</v>
      </c>
      <c r="I19" s="35">
        <f>(F19/E19-1)</f>
        <v>1.674641148325362E-2</v>
      </c>
      <c r="J19" s="35">
        <v>0.4929</v>
      </c>
      <c r="K19" s="35">
        <f>(G19*0.6)+(H19*0.15)+(I19*0.1)+(J19*0.15)</f>
        <v>-0.12578879587469188</v>
      </c>
      <c r="L19" s="35">
        <f>K19*-1</f>
        <v>0.12578879587469188</v>
      </c>
    </row>
    <row r="20" spans="2:12" x14ac:dyDescent="0.25">
      <c r="B20" s="27">
        <v>1216</v>
      </c>
      <c r="C20" s="27">
        <v>1752</v>
      </c>
      <c r="D20" s="27" t="s">
        <v>161</v>
      </c>
      <c r="E20" s="27">
        <v>8857</v>
      </c>
      <c r="F20" s="27">
        <v>9273</v>
      </c>
      <c r="G20" s="35">
        <f>(D20/C20)-1</f>
        <v>-0.30707762557077622</v>
      </c>
      <c r="H20" s="36">
        <f>F20/$F$132</f>
        <v>3.0527792043613954E-2</v>
      </c>
      <c r="I20" s="35">
        <f>(F20/E20-1)</f>
        <v>4.6968499491927274E-2</v>
      </c>
      <c r="J20" s="35">
        <v>0.3407</v>
      </c>
      <c r="K20" s="35">
        <f>(G20*0.6)+(H20*0.15)+(I20*0.1)+(J20*0.15)</f>
        <v>-0.12386555658673089</v>
      </c>
      <c r="L20" s="35">
        <f>K20*-1</f>
        <v>0.12386555658673089</v>
      </c>
    </row>
    <row r="21" spans="2:12" x14ac:dyDescent="0.25">
      <c r="B21" s="27">
        <v>1249</v>
      </c>
      <c r="C21" s="27">
        <v>111</v>
      </c>
      <c r="D21" s="27">
        <v>79</v>
      </c>
      <c r="E21" s="27">
        <v>781</v>
      </c>
      <c r="F21" s="27">
        <v>817</v>
      </c>
      <c r="G21" s="35">
        <f>(D21/C21)-1</f>
        <v>-0.28828828828828834</v>
      </c>
      <c r="H21" s="36">
        <f>F21/$F$132</f>
        <v>2.6896588050935618E-3</v>
      </c>
      <c r="I21" s="35">
        <f>(F21/E21-1)</f>
        <v>4.6094750320102351E-2</v>
      </c>
      <c r="J21" s="35">
        <v>0.35369999999999996</v>
      </c>
      <c r="K21" s="35">
        <f>(G21*0.6)+(H21*0.15)+(I21*0.1)+(J21*0.15)</f>
        <v>-0.11490504912019875</v>
      </c>
      <c r="L21" s="35">
        <f>K21*-1</f>
        <v>0.11490504912019875</v>
      </c>
    </row>
    <row r="22" spans="2:12" x14ac:dyDescent="0.25">
      <c r="B22" s="27">
        <v>1019</v>
      </c>
      <c r="C22" s="27">
        <v>253</v>
      </c>
      <c r="D22" s="27">
        <v>174</v>
      </c>
      <c r="E22" s="27">
        <v>928</v>
      </c>
      <c r="F22" s="27">
        <v>889</v>
      </c>
      <c r="G22" s="35">
        <f>(D22/C22)-1</f>
        <v>-0.31225296442687744</v>
      </c>
      <c r="H22" s="36">
        <f>F22/$F$132</f>
        <v>2.9266911600100082E-3</v>
      </c>
      <c r="I22" s="35">
        <f>(F22/E22-1)</f>
        <v>-4.2025862068965525E-2</v>
      </c>
      <c r="J22" s="35">
        <v>0.50960000000000005</v>
      </c>
      <c r="K22" s="35">
        <f>(G22*0.6)+(H22*0.15)+(I22*0.1)+(J22*0.15)</f>
        <v>-0.1146753611890215</v>
      </c>
      <c r="L22" s="35">
        <f>K22*-1</f>
        <v>0.1146753611890215</v>
      </c>
    </row>
    <row r="23" spans="2:12" x14ac:dyDescent="0.25">
      <c r="B23" s="27">
        <v>1011</v>
      </c>
      <c r="C23" s="27">
        <v>318</v>
      </c>
      <c r="D23" s="27">
        <v>219</v>
      </c>
      <c r="E23" s="27">
        <v>1221</v>
      </c>
      <c r="F23" s="27">
        <v>1254</v>
      </c>
      <c r="G23" s="35">
        <f>(D23/C23)-1</f>
        <v>-0.31132075471698117</v>
      </c>
      <c r="H23" s="36">
        <f>F23/$F$132</f>
        <v>4.1283135147947691E-3</v>
      </c>
      <c r="I23" s="35">
        <f>(F23/E23-1)</f>
        <v>2.7027027027026973E-2</v>
      </c>
      <c r="J23" s="35">
        <v>0.46409999999999996</v>
      </c>
      <c r="K23" s="35">
        <f>(G23*0.6)+(H23*0.15)+(I23*0.1)+(J23*0.15)</f>
        <v>-0.11385550310026678</v>
      </c>
      <c r="L23" s="35">
        <f>K23*-1</f>
        <v>0.11385550310026678</v>
      </c>
    </row>
    <row r="24" spans="2:12" x14ac:dyDescent="0.25">
      <c r="B24" s="27">
        <v>1263</v>
      </c>
      <c r="C24" s="27">
        <v>2441</v>
      </c>
      <c r="D24" s="27" t="s">
        <v>163</v>
      </c>
      <c r="E24" s="27">
        <v>12535</v>
      </c>
      <c r="F24" s="27">
        <v>14017</v>
      </c>
      <c r="G24" s="35">
        <f>(D24/C24)-1</f>
        <v>-0.29004506349856618</v>
      </c>
      <c r="H24" s="36">
        <f>F24/$F$132</f>
        <v>4.6145590539775343E-2</v>
      </c>
      <c r="I24" s="35">
        <f>(F24/E24-1)</f>
        <v>0.11822895891503782</v>
      </c>
      <c r="J24" s="35">
        <v>0.31940000000000002</v>
      </c>
      <c r="K24" s="35">
        <f>(G24*0.6)+(H24*0.15)+(I24*0.1)+(J24*0.15)</f>
        <v>-0.10737230362666961</v>
      </c>
      <c r="L24" s="35">
        <f>K24*-1</f>
        <v>0.10737230362666961</v>
      </c>
    </row>
    <row r="25" spans="2:12" x14ac:dyDescent="0.25">
      <c r="B25" s="27">
        <v>1208</v>
      </c>
      <c r="C25" s="27">
        <v>351</v>
      </c>
      <c r="D25" s="27">
        <v>251</v>
      </c>
      <c r="E25" s="27">
        <v>1456</v>
      </c>
      <c r="F25" s="27">
        <v>1474</v>
      </c>
      <c r="G25" s="35">
        <f>(D25/C25)-1</f>
        <v>-0.28490028490028485</v>
      </c>
      <c r="H25" s="36">
        <f>F25/$F$132</f>
        <v>4.8525790437061326E-3</v>
      </c>
      <c r="I25" s="35">
        <f>(F25/E25-1)</f>
        <v>1.2362637362637319E-2</v>
      </c>
      <c r="J25" s="35">
        <v>0.4763</v>
      </c>
      <c r="K25" s="35">
        <f>(G25*0.6)+(H25*0.15)+(I25*0.1)+(J25*0.15)</f>
        <v>-9.7531020347351269E-2</v>
      </c>
      <c r="L25" s="35">
        <f>K25*-1</f>
        <v>9.7531020347351269E-2</v>
      </c>
    </row>
    <row r="26" spans="2:12" x14ac:dyDescent="0.25">
      <c r="B26" s="27">
        <v>947</v>
      </c>
      <c r="C26" s="27">
        <v>251</v>
      </c>
      <c r="D26" s="27">
        <v>189</v>
      </c>
      <c r="E26" s="27">
        <v>1291</v>
      </c>
      <c r="F26" s="27">
        <v>1272</v>
      </c>
      <c r="G26" s="35">
        <f>(D26/C26)-1</f>
        <v>-0.24701195219123506</v>
      </c>
      <c r="H26" s="36">
        <f>F26/$F$132</f>
        <v>4.1875716035238812E-3</v>
      </c>
      <c r="I26" s="35">
        <f>(F26/E26-1)</f>
        <v>-1.4717273431448463E-2</v>
      </c>
      <c r="J26" s="35">
        <v>0.3483</v>
      </c>
      <c r="K26" s="35">
        <f>(G26*0.6)+(H26*0.15)+(I26*0.1)+(J26*0.15)</f>
        <v>-9.6805762917357305E-2</v>
      </c>
      <c r="L26" s="35">
        <f>K26*-1</f>
        <v>9.6805762917357305E-2</v>
      </c>
    </row>
    <row r="27" spans="2:12" x14ac:dyDescent="0.25">
      <c r="B27" s="27">
        <v>948</v>
      </c>
      <c r="C27" s="27">
        <v>289</v>
      </c>
      <c r="D27" s="27">
        <v>214</v>
      </c>
      <c r="E27" s="27">
        <v>1362</v>
      </c>
      <c r="F27" s="27">
        <v>1373</v>
      </c>
      <c r="G27" s="35">
        <f>(D27/C27)-1</f>
        <v>-0.25951557093425603</v>
      </c>
      <c r="H27" s="36">
        <f>F27/$F$132</f>
        <v>4.5200753236150065E-3</v>
      </c>
      <c r="I27" s="35">
        <f>(F27/E27-1)</f>
        <v>8.0763582966225655E-3</v>
      </c>
      <c r="J27" s="35">
        <v>0.39549999999999996</v>
      </c>
      <c r="K27" s="35">
        <f>(G27*0.6)+(H27*0.15)+(I27*0.1)+(J27*0.15)</f>
        <v>-9.4898695432349106E-2</v>
      </c>
      <c r="L27" s="35">
        <f>K27*-1</f>
        <v>9.4898695432349106E-2</v>
      </c>
    </row>
    <row r="28" spans="2:12" x14ac:dyDescent="0.25">
      <c r="B28" s="27">
        <v>942</v>
      </c>
      <c r="C28" s="27">
        <v>490</v>
      </c>
      <c r="D28" s="27">
        <v>359</v>
      </c>
      <c r="E28" s="27">
        <v>2315</v>
      </c>
      <c r="F28" s="27">
        <v>2485</v>
      </c>
      <c r="G28" s="35">
        <f>(D28/C28)-1</f>
        <v>-0.26734693877551019</v>
      </c>
      <c r="H28" s="36">
        <f>F28/$F$132</f>
        <v>8.1809083606578965E-3</v>
      </c>
      <c r="I28" s="35">
        <f>(F28/E28-1)</f>
        <v>7.343412526997839E-2</v>
      </c>
      <c r="J28" s="35">
        <v>0.38030000000000003</v>
      </c>
      <c r="K28" s="35">
        <f>(G28*0.6)+(H28*0.15)+(I28*0.1)+(J28*0.15)</f>
        <v>-9.47926144842096E-2</v>
      </c>
      <c r="L28" s="35">
        <f>K28*-1</f>
        <v>9.47926144842096E-2</v>
      </c>
    </row>
    <row r="29" spans="2:12" x14ac:dyDescent="0.25">
      <c r="B29" s="27">
        <v>1143</v>
      </c>
      <c r="C29" s="27">
        <v>506</v>
      </c>
      <c r="D29" s="27">
        <v>364</v>
      </c>
      <c r="E29" s="27">
        <v>2041</v>
      </c>
      <c r="F29" s="27">
        <v>2076</v>
      </c>
      <c r="G29" s="35">
        <f>(D29/C29)-1</f>
        <v>-0.28063241106719372</v>
      </c>
      <c r="H29" s="36">
        <f>F29/$F$132</f>
        <v>6.8344329000908626E-3</v>
      </c>
      <c r="I29" s="35">
        <f>(F29/E29-1)</f>
        <v>1.714845663890241E-2</v>
      </c>
      <c r="J29" s="35">
        <v>0.47450000000000003</v>
      </c>
      <c r="K29" s="35">
        <f>(G29*0.6)+(H29*0.15)+(I29*0.1)+(J29*0.15)</f>
        <v>-9.4464436041412372E-2</v>
      </c>
      <c r="L29" s="35">
        <f>K29*-1</f>
        <v>9.4464436041412372E-2</v>
      </c>
    </row>
    <row r="30" spans="2:12" x14ac:dyDescent="0.25">
      <c r="B30" s="27">
        <v>964</v>
      </c>
      <c r="C30" s="27">
        <v>315</v>
      </c>
      <c r="D30" s="27">
        <v>226</v>
      </c>
      <c r="E30" s="27">
        <v>1159</v>
      </c>
      <c r="F30" s="27">
        <v>1152</v>
      </c>
      <c r="G30" s="35">
        <f>(D30/C30)-1</f>
        <v>-0.28253968253968254</v>
      </c>
      <c r="H30" s="36">
        <f>F30/$F$132</f>
        <v>3.7925176786631374E-3</v>
      </c>
      <c r="I30" s="35">
        <f>(F30/E30-1)</f>
        <v>-6.0396893874029578E-3</v>
      </c>
      <c r="J30" s="35">
        <v>0.50259999999999994</v>
      </c>
      <c r="K30" s="35">
        <f>(G30*0.6)+(H30*0.15)+(I30*0.1)+(J30*0.15)</f>
        <v>-9.4168900810750356E-2</v>
      </c>
      <c r="L30" s="35">
        <f>K30*-1</f>
        <v>9.4168900810750356E-2</v>
      </c>
    </row>
    <row r="31" spans="2:12" x14ac:dyDescent="0.25">
      <c r="B31" s="27">
        <v>956</v>
      </c>
      <c r="C31" s="27">
        <v>352</v>
      </c>
      <c r="D31" s="27">
        <v>258</v>
      </c>
      <c r="E31" s="27">
        <v>1436</v>
      </c>
      <c r="F31" s="27">
        <v>1429</v>
      </c>
      <c r="G31" s="35">
        <f>(D31/C31)-1</f>
        <v>-0.26704545454545459</v>
      </c>
      <c r="H31" s="36">
        <f>F31/$F$132</f>
        <v>4.704433821883354E-3</v>
      </c>
      <c r="I31" s="35">
        <f>(F31/E31-1)</f>
        <v>-4.8746518105849956E-3</v>
      </c>
      <c r="J31" s="35">
        <v>0.45280000000000004</v>
      </c>
      <c r="K31" s="35">
        <f>(G31*0.6)+(H31*0.15)+(I31*0.1)+(J31*0.15)</f>
        <v>-9.2089072835048719E-2</v>
      </c>
      <c r="L31" s="35">
        <f>K31*-1</f>
        <v>9.2089072835048719E-2</v>
      </c>
    </row>
    <row r="32" spans="2:12" x14ac:dyDescent="0.25">
      <c r="B32" s="27">
        <v>943</v>
      </c>
      <c r="C32" s="27">
        <v>212</v>
      </c>
      <c r="D32" s="27">
        <v>160</v>
      </c>
      <c r="E32" s="27">
        <v>1064</v>
      </c>
      <c r="F32" s="27">
        <v>1037</v>
      </c>
      <c r="G32" s="35">
        <f>(D32/C32)-1</f>
        <v>-0.24528301886792447</v>
      </c>
      <c r="H32" s="36">
        <f>F32/$F$132</f>
        <v>3.4139243340049249E-3</v>
      </c>
      <c r="I32" s="35">
        <f>(F32/E32-1)</f>
        <v>-2.5375939849624052E-2</v>
      </c>
      <c r="J32" s="35">
        <v>0.40979999999999994</v>
      </c>
      <c r="K32" s="35">
        <f>(G32*0.6)+(H32*0.15)+(I32*0.1)+(J32*0.15)</f>
        <v>-8.7725316655616337E-2</v>
      </c>
      <c r="L32" s="35">
        <f>K32*-1</f>
        <v>8.7725316655616337E-2</v>
      </c>
    </row>
    <row r="33" spans="2:12" x14ac:dyDescent="0.25">
      <c r="B33" s="27">
        <v>1204</v>
      </c>
      <c r="C33" s="27">
        <v>413</v>
      </c>
      <c r="D33" s="27">
        <v>304</v>
      </c>
      <c r="E33" s="27">
        <v>1765</v>
      </c>
      <c r="F33" s="27">
        <v>1808</v>
      </c>
      <c r="G33" s="35">
        <f>(D33/C33)-1</f>
        <v>-0.26392251815980627</v>
      </c>
      <c r="H33" s="36">
        <f>F33/$F$132</f>
        <v>5.9521458012352021E-3</v>
      </c>
      <c r="I33" s="35">
        <f>(F33/E33-1)</f>
        <v>2.4362606232294581E-2</v>
      </c>
      <c r="J33" s="35">
        <v>0.45079999999999998</v>
      </c>
      <c r="K33" s="35">
        <f>(G33*0.6)+(H33*0.15)+(I33*0.1)+(J33*0.15)</f>
        <v>-8.7404428402469023E-2</v>
      </c>
      <c r="L33" s="35">
        <f>K33*-1</f>
        <v>8.7404428402469023E-2</v>
      </c>
    </row>
    <row r="34" spans="2:12" x14ac:dyDescent="0.25">
      <c r="B34" s="27">
        <v>1202</v>
      </c>
      <c r="C34" s="27">
        <v>811</v>
      </c>
      <c r="D34" s="27">
        <v>601</v>
      </c>
      <c r="E34" s="27">
        <v>3542</v>
      </c>
      <c r="F34" s="27">
        <v>3683</v>
      </c>
      <c r="G34" s="35">
        <f>(D34/C34)-1</f>
        <v>-0.25893958076448831</v>
      </c>
      <c r="H34" s="36">
        <f>F34/$F$132</f>
        <v>1.212486337718432E-2</v>
      </c>
      <c r="I34" s="35">
        <f>(F34/E34-1)</f>
        <v>3.9808018068887563E-2</v>
      </c>
      <c r="J34" s="35">
        <v>0.42</v>
      </c>
      <c r="K34" s="35">
        <f>(G34*0.6)+(H34*0.15)+(I34*0.1)+(J34*0.15)</f>
        <v>-8.6564217145226552E-2</v>
      </c>
      <c r="L34" s="35">
        <f>K34*-1</f>
        <v>8.6564217145226552E-2</v>
      </c>
    </row>
    <row r="35" spans="2:12" x14ac:dyDescent="0.25">
      <c r="B35" s="27">
        <v>1144</v>
      </c>
      <c r="C35" s="27">
        <v>296</v>
      </c>
      <c r="D35" s="27">
        <v>209</v>
      </c>
      <c r="E35" s="27">
        <v>920</v>
      </c>
      <c r="F35" s="27">
        <v>982</v>
      </c>
      <c r="G35" s="35">
        <f>(D35/C35)-1</f>
        <v>-0.29391891891891897</v>
      </c>
      <c r="H35" s="36">
        <f>F35/$F$132</f>
        <v>3.2328579517770842E-3</v>
      </c>
      <c r="I35" s="35">
        <f>(F35/E35-1)</f>
        <v>6.7391304347826031E-2</v>
      </c>
      <c r="J35" s="35">
        <v>0.56009999999999993</v>
      </c>
      <c r="K35" s="35">
        <f>(G35*0.6)+(H35*0.15)+(I35*0.1)+(J35*0.15)</f>
        <v>-8.5112292223802219E-2</v>
      </c>
      <c r="L35" s="35">
        <f>K35*-1</f>
        <v>8.5112292223802219E-2</v>
      </c>
    </row>
    <row r="36" spans="2:12" x14ac:dyDescent="0.25">
      <c r="B36" s="27">
        <v>1219</v>
      </c>
      <c r="C36" s="27">
        <v>428</v>
      </c>
      <c r="D36" s="27">
        <v>317</v>
      </c>
      <c r="E36" s="27">
        <v>1768</v>
      </c>
      <c r="F36" s="27">
        <v>1809</v>
      </c>
      <c r="G36" s="35">
        <f>(D36/C36)-1</f>
        <v>-0.25934579439252337</v>
      </c>
      <c r="H36" s="36">
        <f>F36/$F$132</f>
        <v>5.9554379172757077E-3</v>
      </c>
      <c r="I36" s="35">
        <f>(F36/E36-1)</f>
        <v>2.3190045248868696E-2</v>
      </c>
      <c r="J36" s="35">
        <v>0.45770000000000005</v>
      </c>
      <c r="K36" s="35">
        <f>(G36*0.6)+(H36*0.15)+(I36*0.1)+(J36*0.15)</f>
        <v>-8.3740156423035797E-2</v>
      </c>
      <c r="L36" s="35">
        <f>K36*-1</f>
        <v>8.3740156423035797E-2</v>
      </c>
    </row>
    <row r="37" spans="2:12" x14ac:dyDescent="0.25">
      <c r="B37" s="27">
        <v>1054</v>
      </c>
      <c r="C37" s="27">
        <v>286</v>
      </c>
      <c r="D37" s="27">
        <v>211</v>
      </c>
      <c r="E37" s="27">
        <v>964</v>
      </c>
      <c r="F37" s="27">
        <v>977</v>
      </c>
      <c r="G37" s="35">
        <f>(D37/C37)-1</f>
        <v>-0.26223776223776218</v>
      </c>
      <c r="H37" s="36">
        <f>F37/$F$132</f>
        <v>3.2163973715745534E-3</v>
      </c>
      <c r="I37" s="35">
        <f>(F37/E37-1)</f>
        <v>1.3485477178423189E-2</v>
      </c>
      <c r="J37" s="35">
        <v>0.47899999999999998</v>
      </c>
      <c r="K37" s="35">
        <f>(G37*0.6)+(H37*0.15)+(I37*0.1)+(J37*0.15)</f>
        <v>-8.3661650019078826E-2</v>
      </c>
      <c r="L37" s="35">
        <f>K37*-1</f>
        <v>8.3661650019078826E-2</v>
      </c>
    </row>
    <row r="38" spans="2:12" x14ac:dyDescent="0.25">
      <c r="B38" s="27">
        <v>1146</v>
      </c>
      <c r="C38" s="27">
        <v>291</v>
      </c>
      <c r="D38" s="27">
        <v>215</v>
      </c>
      <c r="E38" s="27">
        <v>1076</v>
      </c>
      <c r="F38" s="27">
        <v>1111</v>
      </c>
      <c r="G38" s="35">
        <f>(D38/C38)-1</f>
        <v>-0.26116838487972505</v>
      </c>
      <c r="H38" s="36">
        <f>F38/$F$132</f>
        <v>3.6575409210023837E-3</v>
      </c>
      <c r="I38" s="35">
        <f>(F38/E38-1)</f>
        <v>3.2527881040892215E-2</v>
      </c>
      <c r="J38" s="35">
        <v>0.46350000000000002</v>
      </c>
      <c r="K38" s="35">
        <f>(G38*0.6)+(H38*0.15)+(I38*0.1)+(J38*0.15)</f>
        <v>-8.3374611685595457E-2</v>
      </c>
      <c r="L38" s="35">
        <f>K38*-1</f>
        <v>8.3374611685595457E-2</v>
      </c>
    </row>
    <row r="39" spans="2:12" x14ac:dyDescent="0.25">
      <c r="B39" s="27">
        <v>999</v>
      </c>
      <c r="C39" s="27">
        <v>293</v>
      </c>
      <c r="D39" s="27">
        <v>214</v>
      </c>
      <c r="E39" s="27">
        <v>1111</v>
      </c>
      <c r="F39" s="27">
        <v>1110</v>
      </c>
      <c r="G39" s="35">
        <f>(D39/C39)-1</f>
        <v>-0.2696245733788396</v>
      </c>
      <c r="H39" s="36">
        <f>F39/$F$132</f>
        <v>3.6542488049618772E-3</v>
      </c>
      <c r="I39" s="35">
        <f>(F39/E39-1)</f>
        <v>-9.0009000900093117E-4</v>
      </c>
      <c r="J39" s="35">
        <v>0.52249999999999996</v>
      </c>
      <c r="K39" s="35">
        <f>(G39*0.6)+(H39*0.15)+(I39*0.1)+(J39*0.15)</f>
        <v>-8.2941615707459601E-2</v>
      </c>
      <c r="L39" s="35">
        <f>K39*-1</f>
        <v>8.2941615707459601E-2</v>
      </c>
    </row>
    <row r="40" spans="2:12" x14ac:dyDescent="0.25">
      <c r="B40" s="28">
        <v>1267</v>
      </c>
      <c r="C40" s="27">
        <v>4967</v>
      </c>
      <c r="D40" s="27">
        <v>3631</v>
      </c>
      <c r="E40" s="27">
        <v>22781</v>
      </c>
      <c r="F40" s="27">
        <v>25648</v>
      </c>
      <c r="G40" s="35">
        <f>(D40/C40)-1</f>
        <v>-0.26897523656130462</v>
      </c>
      <c r="H40" s="36">
        <f>F40/$F$132</f>
        <v>8.4436192206902905E-2</v>
      </c>
      <c r="I40" s="35">
        <f>(F40/E40-1)</f>
        <v>0.12585048944295685</v>
      </c>
      <c r="J40" s="35">
        <v>0.35831538461538465</v>
      </c>
      <c r="K40" s="35">
        <f>(G40*0.6)+(H40*0.15)+(I40*0.1)+(J40*0.15)</f>
        <v>-8.2387356469143941E-2</v>
      </c>
      <c r="L40" s="35">
        <f>K40*-1</f>
        <v>8.2387356469143941E-2</v>
      </c>
    </row>
    <row r="41" spans="2:12" x14ac:dyDescent="0.25">
      <c r="B41" s="27">
        <v>1015</v>
      </c>
      <c r="C41" s="27">
        <v>338</v>
      </c>
      <c r="D41" s="27">
        <v>254</v>
      </c>
      <c r="E41" s="27">
        <v>1355</v>
      </c>
      <c r="F41" s="27">
        <v>1363</v>
      </c>
      <c r="G41" s="35">
        <f>(D41/C41)-1</f>
        <v>-0.24852071005917165</v>
      </c>
      <c r="H41" s="36">
        <f>F41/$F$132</f>
        <v>4.4871541632099448E-3</v>
      </c>
      <c r="I41" s="35">
        <f>(F41/E41-1)</f>
        <v>5.9040590405903259E-3</v>
      </c>
      <c r="J41" s="35">
        <v>0.43799999999999994</v>
      </c>
      <c r="K41" s="35">
        <f>(G41*0.6)+(H41*0.15)+(I41*0.1)+(J41*0.15)</f>
        <v>-8.2148947006962444E-2</v>
      </c>
      <c r="L41" s="35">
        <f>K41*-1</f>
        <v>8.2148947006962444E-2</v>
      </c>
    </row>
    <row r="42" spans="2:12" x14ac:dyDescent="0.25">
      <c r="B42" s="27">
        <v>1214</v>
      </c>
      <c r="C42" s="27">
        <v>419</v>
      </c>
      <c r="D42" s="27">
        <v>307</v>
      </c>
      <c r="E42" s="27">
        <v>1583</v>
      </c>
      <c r="F42" s="27">
        <v>1596</v>
      </c>
      <c r="G42" s="35">
        <f>(D42/C42)-1</f>
        <v>-0.26730310262529833</v>
      </c>
      <c r="H42" s="36">
        <f>F42/$F$132</f>
        <v>5.2542172006478883E-3</v>
      </c>
      <c r="I42" s="35">
        <f>(F42/E42-1)</f>
        <v>8.2122552116234981E-3</v>
      </c>
      <c r="J42" s="35">
        <v>0.51500000000000001</v>
      </c>
      <c r="K42" s="35">
        <f>(G42*0.6)+(H42*0.15)+(I42*0.1)+(J42*0.15)</f>
        <v>-8.1522503473919469E-2</v>
      </c>
      <c r="L42" s="35">
        <f>K42*-1</f>
        <v>8.1522503473919469E-2</v>
      </c>
    </row>
    <row r="43" spans="2:12" x14ac:dyDescent="0.25">
      <c r="B43" s="27">
        <v>1013</v>
      </c>
      <c r="C43" s="27">
        <v>307</v>
      </c>
      <c r="D43" s="27">
        <v>231</v>
      </c>
      <c r="E43" s="27">
        <v>1273</v>
      </c>
      <c r="F43" s="27">
        <v>1246</v>
      </c>
      <c r="G43" s="35">
        <f>(D43/C43)-1</f>
        <v>-0.24755700325732899</v>
      </c>
      <c r="H43" s="36">
        <f>F43/$F$132</f>
        <v>4.1019765864707203E-3</v>
      </c>
      <c r="I43" s="35">
        <f>(F43/E43-1)</f>
        <v>-2.1209740769835062E-2</v>
      </c>
      <c r="J43" s="35">
        <v>0.46149999999999997</v>
      </c>
      <c r="K43" s="35">
        <f>(G43*0.6)+(H43*0.15)+(I43*0.1)+(J43*0.15)</f>
        <v>-8.0814879543410309E-2</v>
      </c>
      <c r="L43" s="35">
        <f>K43*-1</f>
        <v>8.0814879543410309E-2</v>
      </c>
    </row>
    <row r="44" spans="2:12" x14ac:dyDescent="0.25">
      <c r="B44" s="27">
        <v>1272</v>
      </c>
      <c r="C44" s="27">
        <v>295</v>
      </c>
      <c r="D44" s="27">
        <v>227</v>
      </c>
      <c r="E44" s="27">
        <v>1699</v>
      </c>
      <c r="F44" s="27">
        <v>1801</v>
      </c>
      <c r="G44" s="35">
        <f>(D44/C44)-1</f>
        <v>-0.23050847457627122</v>
      </c>
      <c r="H44" s="36">
        <f>F44/$F$132</f>
        <v>5.9291009889516589E-3</v>
      </c>
      <c r="I44" s="35">
        <f>(F44/E44-1)</f>
        <v>6.0035314891112357E-2</v>
      </c>
      <c r="J44" s="35">
        <v>0.33759999999999996</v>
      </c>
      <c r="K44" s="35">
        <f>(G44*0.6)+(H44*0.15)+(I44*0.1)+(J44*0.15)</f>
        <v>-8.0772188108308746E-2</v>
      </c>
      <c r="L44" s="35">
        <f>K44*-1</f>
        <v>8.0772188108308746E-2</v>
      </c>
    </row>
    <row r="45" spans="2:12" x14ac:dyDescent="0.25">
      <c r="B45" s="27">
        <v>1215</v>
      </c>
      <c r="C45" s="27">
        <v>1130</v>
      </c>
      <c r="D45" s="27">
        <v>853</v>
      </c>
      <c r="E45" s="27">
        <v>5633</v>
      </c>
      <c r="F45" s="27">
        <v>6025</v>
      </c>
      <c r="G45" s="35">
        <f>(D45/C45)-1</f>
        <v>-0.24513274336283186</v>
      </c>
      <c r="H45" s="36">
        <f>F45/$F$132</f>
        <v>1.983499914404983E-2</v>
      </c>
      <c r="I45" s="35">
        <f>(F45/E45-1)</f>
        <v>6.9589916563110199E-2</v>
      </c>
      <c r="J45" s="35">
        <v>0.37909999999999999</v>
      </c>
      <c r="K45" s="35">
        <f>(G45*0.6)+(H45*0.15)+(I45*0.1)+(J45*0.15)</f>
        <v>-8.0280404489780605E-2</v>
      </c>
      <c r="L45" s="35">
        <f>K45*-1</f>
        <v>8.0280404489780605E-2</v>
      </c>
    </row>
    <row r="46" spans="2:12" x14ac:dyDescent="0.25">
      <c r="B46" s="27">
        <v>1021</v>
      </c>
      <c r="C46" s="27">
        <v>171</v>
      </c>
      <c r="D46" s="27">
        <v>125</v>
      </c>
      <c r="E46" s="27">
        <v>715</v>
      </c>
      <c r="F46" s="27">
        <v>701</v>
      </c>
      <c r="G46" s="35">
        <f>(D46/C46)-1</f>
        <v>-0.26900584795321636</v>
      </c>
      <c r="H46" s="36">
        <f>F46/$F$132</f>
        <v>2.3077733443948433E-3</v>
      </c>
      <c r="I46" s="35">
        <f>(F46/E46-1)</f>
        <v>-1.9580419580419561E-2</v>
      </c>
      <c r="J46" s="35">
        <v>0.55349999999999999</v>
      </c>
      <c r="K46" s="35">
        <f>(G46*0.6)+(H46*0.15)+(I46*0.1)+(J46*0.15)</f>
        <v>-7.9990384728312505E-2</v>
      </c>
      <c r="L46" s="35">
        <f>K46*-1</f>
        <v>7.9990384728312505E-2</v>
      </c>
    </row>
    <row r="47" spans="2:12" x14ac:dyDescent="0.25">
      <c r="B47" s="27">
        <v>1141</v>
      </c>
      <c r="C47" s="27">
        <v>406</v>
      </c>
      <c r="D47" s="27">
        <v>298</v>
      </c>
      <c r="E47" s="27">
        <v>1402</v>
      </c>
      <c r="F47" s="27">
        <v>1339</v>
      </c>
      <c r="G47" s="35">
        <f>(D47/C47)-1</f>
        <v>-0.26600985221674878</v>
      </c>
      <c r="H47" s="36">
        <f>F47/$F$132</f>
        <v>4.4081433782377959E-3</v>
      </c>
      <c r="I47" s="35">
        <f>(F47/E47-1)</f>
        <v>-4.4935805991440758E-2</v>
      </c>
      <c r="J47" s="35">
        <v>0.5706</v>
      </c>
      <c r="K47" s="35">
        <f>(G47*0.6)+(H47*0.15)+(I47*0.1)+(J47*0.15)</f>
        <v>-7.7848270422457649E-2</v>
      </c>
      <c r="L47" s="35">
        <f>K47*-1</f>
        <v>7.7848270422457649E-2</v>
      </c>
    </row>
    <row r="48" spans="2:12" x14ac:dyDescent="0.25">
      <c r="B48" s="27">
        <v>1210</v>
      </c>
      <c r="C48" s="27">
        <v>225</v>
      </c>
      <c r="D48" s="27">
        <v>165</v>
      </c>
      <c r="E48" s="27">
        <v>896</v>
      </c>
      <c r="F48" s="27">
        <v>906</v>
      </c>
      <c r="G48" s="35">
        <f>(D48/C48)-1</f>
        <v>-0.26666666666666672</v>
      </c>
      <c r="H48" s="36">
        <f>F48/$F$132</f>
        <v>2.9826571326986135E-3</v>
      </c>
      <c r="I48" s="35">
        <f>(F48/E48-1)</f>
        <v>1.1160714285714191E-2</v>
      </c>
      <c r="J48" s="35">
        <v>0.53859999999999997</v>
      </c>
      <c r="K48" s="35">
        <f>(G48*0.6)+(H48*0.15)+(I48*0.1)+(J48*0.15)</f>
        <v>-7.7646530001523814E-2</v>
      </c>
      <c r="L48" s="35">
        <f>K48*-1</f>
        <v>7.7646530001523814E-2</v>
      </c>
    </row>
    <row r="49" spans="2:12" x14ac:dyDescent="0.25">
      <c r="B49" s="27">
        <v>962</v>
      </c>
      <c r="C49" s="27">
        <v>230</v>
      </c>
      <c r="D49" s="27">
        <v>172</v>
      </c>
      <c r="E49" s="27">
        <v>917</v>
      </c>
      <c r="F49" s="27">
        <v>926</v>
      </c>
      <c r="G49" s="35">
        <f>(D49/C49)-1</f>
        <v>-0.25217391304347825</v>
      </c>
      <c r="H49" s="36">
        <f>F49/$F$132</f>
        <v>3.0484994535087372E-3</v>
      </c>
      <c r="I49" s="35">
        <f>(F49/E49-1)</f>
        <v>9.8146128680480782E-3</v>
      </c>
      <c r="J49" s="35">
        <v>0.48810000000000003</v>
      </c>
      <c r="K49" s="35">
        <f>(G49*0.6)+(H49*0.15)+(I49*0.1)+(J49*0.15)</f>
        <v>-7.6650611621255832E-2</v>
      </c>
      <c r="L49" s="35">
        <f>K49*-1</f>
        <v>7.6650611621255832E-2</v>
      </c>
    </row>
    <row r="50" spans="2:12" x14ac:dyDescent="0.25">
      <c r="B50" s="27">
        <v>1221</v>
      </c>
      <c r="C50" s="27">
        <v>2925</v>
      </c>
      <c r="D50" s="27" t="s">
        <v>162</v>
      </c>
      <c r="E50" s="27">
        <v>12398</v>
      </c>
      <c r="F50" s="27">
        <v>13824</v>
      </c>
      <c r="G50" s="35">
        <f>(D50/C50)-1</f>
        <v>-0.26598290598290597</v>
      </c>
      <c r="H50" s="36">
        <f>F50/$F$132</f>
        <v>4.5510212143957653E-2</v>
      </c>
      <c r="I50" s="35">
        <f>(F50/E50-1)</f>
        <v>0.11501855137925476</v>
      </c>
      <c r="J50" s="35">
        <v>0.43560000000000004</v>
      </c>
      <c r="K50" s="35">
        <f>(G50*0.6)+(H50*0.15)+(I50*0.1)+(J50*0.15)</f>
        <v>-7.5921356630224424E-2</v>
      </c>
      <c r="L50" s="35">
        <f>K50*-1</f>
        <v>7.5921356630224424E-2</v>
      </c>
    </row>
    <row r="51" spans="2:12" x14ac:dyDescent="0.25">
      <c r="B51" s="27">
        <v>1213</v>
      </c>
      <c r="C51" s="27">
        <v>290</v>
      </c>
      <c r="D51" s="27">
        <v>215</v>
      </c>
      <c r="E51" s="27">
        <v>1152</v>
      </c>
      <c r="F51" s="27">
        <v>1192</v>
      </c>
      <c r="G51" s="35">
        <f>(D51/C51)-1</f>
        <v>-0.25862068965517238</v>
      </c>
      <c r="H51" s="36">
        <f>F51/$F$132</f>
        <v>3.9242023202833856E-3</v>
      </c>
      <c r="I51" s="35">
        <f>(F51/E51-1)</f>
        <v>3.4722222222222321E-2</v>
      </c>
      <c r="J51" s="35">
        <v>0.50249999999999995</v>
      </c>
      <c r="K51" s="35">
        <f>(G51*0.6)+(H51*0.15)+(I51*0.1)+(J51*0.15)</f>
        <v>-7.5736561222838686E-2</v>
      </c>
      <c r="L51" s="35">
        <f>K51*-1</f>
        <v>7.5736561222838686E-2</v>
      </c>
    </row>
    <row r="52" spans="2:12" x14ac:dyDescent="0.25">
      <c r="B52" s="27">
        <v>1001</v>
      </c>
      <c r="C52" s="27">
        <v>255</v>
      </c>
      <c r="D52" s="27">
        <v>188</v>
      </c>
      <c r="E52" s="27">
        <v>1038</v>
      </c>
      <c r="F52" s="27">
        <v>1059</v>
      </c>
      <c r="G52" s="35">
        <f>(D52/C52)-1</f>
        <v>-0.26274509803921564</v>
      </c>
      <c r="H52" s="36">
        <f>F52/$F$132</f>
        <v>3.4863508868960614E-3</v>
      </c>
      <c r="I52" s="35">
        <f>(F52/E52-1)</f>
        <v>2.0231213872832443E-2</v>
      </c>
      <c r="J52" s="35">
        <v>0.53539999999999999</v>
      </c>
      <c r="K52" s="35">
        <f>(G52*0.6)+(H52*0.15)+(I52*0.1)+(J52*0.15)</f>
        <v>-7.4790984803211752E-2</v>
      </c>
      <c r="L52" s="35">
        <f>K52*-1</f>
        <v>7.4790984803211752E-2</v>
      </c>
    </row>
    <row r="53" spans="2:12" x14ac:dyDescent="0.25">
      <c r="B53" s="27">
        <v>953</v>
      </c>
      <c r="C53" s="27">
        <v>971</v>
      </c>
      <c r="D53" s="27">
        <v>728</v>
      </c>
      <c r="E53" s="27">
        <v>3739</v>
      </c>
      <c r="F53" s="27">
        <v>3809</v>
      </c>
      <c r="G53" s="35">
        <f>(D53/C53)-1</f>
        <v>-0.25025746652935121</v>
      </c>
      <c r="H53" s="36">
        <f>F53/$F$132</f>
        <v>1.25396699982881E-2</v>
      </c>
      <c r="I53" s="35">
        <f>(F53/E53-1)</f>
        <v>1.8721583311045675E-2</v>
      </c>
      <c r="J53" s="35">
        <v>0.48359999999999997</v>
      </c>
      <c r="K53" s="35">
        <f>(G53*0.6)+(H53*0.15)+(I53*0.1)+(J53*0.15)</f>
        <v>-7.3861371086762939E-2</v>
      </c>
      <c r="L53" s="35">
        <f>K53*-1</f>
        <v>7.3861371086762939E-2</v>
      </c>
    </row>
    <row r="54" spans="2:12" x14ac:dyDescent="0.25">
      <c r="B54" s="27">
        <v>1003</v>
      </c>
      <c r="C54" s="27">
        <v>235</v>
      </c>
      <c r="D54" s="27">
        <v>176</v>
      </c>
      <c r="E54" s="27">
        <v>922</v>
      </c>
      <c r="F54" s="27">
        <v>926</v>
      </c>
      <c r="G54" s="35">
        <f>(D54/C54)-1</f>
        <v>-0.25106382978723407</v>
      </c>
      <c r="H54" s="36">
        <f>F54/$F$132</f>
        <v>3.0484994535087372E-3</v>
      </c>
      <c r="I54" s="35">
        <f>(F54/E54-1)</f>
        <v>4.3383947939261702E-3</v>
      </c>
      <c r="J54" s="35">
        <v>0.51300000000000001</v>
      </c>
      <c r="K54" s="35">
        <f>(G54*0.6)+(H54*0.15)+(I54*0.1)+(J54*0.15)</f>
        <v>-7.2797183474921492E-2</v>
      </c>
      <c r="L54" s="35">
        <f>K54*-1</f>
        <v>7.2797183474921492E-2</v>
      </c>
    </row>
    <row r="55" spans="2:12" x14ac:dyDescent="0.25">
      <c r="B55" s="27">
        <v>1264</v>
      </c>
      <c r="C55" s="27">
        <v>1089</v>
      </c>
      <c r="D55" s="27">
        <v>840</v>
      </c>
      <c r="E55" s="27">
        <v>6051</v>
      </c>
      <c r="F55" s="27">
        <v>7030</v>
      </c>
      <c r="G55" s="35">
        <f>(D55/C55)-1</f>
        <v>-0.22865013774104681</v>
      </c>
      <c r="H55" s="36">
        <f>F55/$F$132</f>
        <v>2.3143575764758555E-2</v>
      </c>
      <c r="I55" s="35">
        <f>(F55/E55-1)</f>
        <v>0.16179143943149898</v>
      </c>
      <c r="J55" s="35">
        <v>0.30170000000000002</v>
      </c>
      <c r="K55" s="35">
        <f>(G55*0.6)+(H55*0.15)+(I55*0.1)+(J55*0.15)</f>
        <v>-7.2284402336764406E-2</v>
      </c>
      <c r="L55" s="35">
        <f>K55*-1</f>
        <v>7.2284402336764406E-2</v>
      </c>
    </row>
    <row r="56" spans="2:12" x14ac:dyDescent="0.25">
      <c r="B56" s="27">
        <v>1198</v>
      </c>
      <c r="C56" s="27">
        <v>1016</v>
      </c>
      <c r="D56" s="27">
        <v>767</v>
      </c>
      <c r="E56" s="27">
        <v>4151</v>
      </c>
      <c r="F56" s="27">
        <v>4271</v>
      </c>
      <c r="G56" s="35">
        <f>(D56/C56)-1</f>
        <v>-0.24507874015748032</v>
      </c>
      <c r="H56" s="36">
        <f>F56/$F$132</f>
        <v>1.4060627609001963E-2</v>
      </c>
      <c r="I56" s="35">
        <f>(F56/E56-1)</f>
        <v>2.8908696699590397E-2</v>
      </c>
      <c r="J56" s="35">
        <v>0.47249999999999998</v>
      </c>
      <c r="K56" s="35">
        <f>(G56*0.6)+(H56*0.15)+(I56*0.1)+(J56*0.15)</f>
        <v>-7.1172280283178846E-2</v>
      </c>
      <c r="L56" s="35">
        <f>K56*-1</f>
        <v>7.1172280283178846E-2</v>
      </c>
    </row>
    <row r="57" spans="2:12" x14ac:dyDescent="0.25">
      <c r="B57" s="27">
        <v>1199</v>
      </c>
      <c r="C57" s="27">
        <v>776</v>
      </c>
      <c r="D57" s="27">
        <v>582</v>
      </c>
      <c r="E57" s="27">
        <v>2699</v>
      </c>
      <c r="F57" s="27">
        <v>2870</v>
      </c>
      <c r="G57" s="35">
        <f>(D57/C57)-1</f>
        <v>-0.25</v>
      </c>
      <c r="H57" s="36">
        <f>F57/$F$132</f>
        <v>9.4483730362527815E-3</v>
      </c>
      <c r="I57" s="35">
        <f>(F57/E57-1)</f>
        <v>6.3356798814375725E-2</v>
      </c>
      <c r="J57" s="35">
        <v>0.47420000000000001</v>
      </c>
      <c r="K57" s="35">
        <f>(G57*0.6)+(H57*0.15)+(I57*0.1)+(J57*0.15)</f>
        <v>-7.1117064163124494E-2</v>
      </c>
      <c r="L57" s="35">
        <f>K57*-1</f>
        <v>7.1117064163124494E-2</v>
      </c>
    </row>
    <row r="58" spans="2:12" x14ac:dyDescent="0.25">
      <c r="B58" s="27">
        <v>1200</v>
      </c>
      <c r="C58" s="27">
        <v>913</v>
      </c>
      <c r="D58" s="27">
        <v>699</v>
      </c>
      <c r="E58" s="27">
        <v>3703</v>
      </c>
      <c r="F58" s="27">
        <v>4035</v>
      </c>
      <c r="G58" s="35">
        <f>(D58/C58)-1</f>
        <v>-0.23439211391018622</v>
      </c>
      <c r="H58" s="36">
        <f>F58/$F$132</f>
        <v>1.3283688223442501E-2</v>
      </c>
      <c r="I58" s="35">
        <f>(F58/E58-1)</f>
        <v>8.9657034836619021E-2</v>
      </c>
      <c r="J58" s="35">
        <v>0.40049999999999997</v>
      </c>
      <c r="K58" s="35">
        <f>(G58*0.6)+(H58*0.15)+(I58*0.1)+(J58*0.15)</f>
        <v>-6.9602011628933452E-2</v>
      </c>
      <c r="L58" s="35">
        <f>K58*-1</f>
        <v>6.9602011628933452E-2</v>
      </c>
    </row>
    <row r="59" spans="2:12" x14ac:dyDescent="0.25">
      <c r="B59" s="27">
        <v>944</v>
      </c>
      <c r="C59" s="27">
        <v>286</v>
      </c>
      <c r="D59" s="27">
        <v>224</v>
      </c>
      <c r="E59" s="27">
        <v>1382</v>
      </c>
      <c r="F59" s="27">
        <v>1371</v>
      </c>
      <c r="G59" s="35">
        <f>(D59/C59)-1</f>
        <v>-0.21678321678321677</v>
      </c>
      <c r="H59" s="36">
        <f>F59/$F$132</f>
        <v>4.5134910915339945E-3</v>
      </c>
      <c r="I59" s="35">
        <f>(F59/E59-1)</f>
        <v>-7.9594790159189799E-3</v>
      </c>
      <c r="J59" s="35">
        <v>0.41210000000000002</v>
      </c>
      <c r="K59" s="35">
        <f>(G59*0.6)+(H59*0.15)+(I59*0.1)+(J59*0.15)</f>
        <v>-6.8373854307791859E-2</v>
      </c>
      <c r="L59" s="35">
        <f>K59*-1</f>
        <v>6.8373854307791859E-2</v>
      </c>
    </row>
    <row r="60" spans="2:12" x14ac:dyDescent="0.25">
      <c r="B60" s="27">
        <v>1014</v>
      </c>
      <c r="C60" s="27">
        <v>351</v>
      </c>
      <c r="D60" s="27">
        <v>265</v>
      </c>
      <c r="E60" s="27">
        <v>1296</v>
      </c>
      <c r="F60" s="27">
        <v>1375</v>
      </c>
      <c r="G60" s="35">
        <f>(D60/C60)-1</f>
        <v>-0.24501424501424507</v>
      </c>
      <c r="H60" s="36">
        <f>F60/$F$132</f>
        <v>4.5266595556960193E-3</v>
      </c>
      <c r="I60" s="35">
        <f>(F60/E60-1)</f>
        <v>6.0956790123456894E-2</v>
      </c>
      <c r="J60" s="35">
        <v>0.48</v>
      </c>
      <c r="K60" s="35">
        <f>(G60*0.6)+(H60*0.15)+(I60*0.1)+(J60*0.15)</f>
        <v>-6.8233869062846939E-2</v>
      </c>
      <c r="L60" s="35">
        <f>K60*-1</f>
        <v>6.8233869062846939E-2</v>
      </c>
    </row>
    <row r="61" spans="2:12" x14ac:dyDescent="0.25">
      <c r="B61" s="27">
        <v>1160</v>
      </c>
      <c r="C61" s="27">
        <v>1070</v>
      </c>
      <c r="D61" s="27">
        <v>781</v>
      </c>
      <c r="E61" s="27">
        <v>3864</v>
      </c>
      <c r="F61" s="27">
        <v>3968</v>
      </c>
      <c r="G61" s="35">
        <f>(D61/C61)-1</f>
        <v>-0.27009345794392525</v>
      </c>
      <c r="H61" s="36">
        <f>F61/$F$132</f>
        <v>1.3063116448728585E-2</v>
      </c>
      <c r="I61" s="35">
        <f>(F61/E61-1)</f>
        <v>2.6915113871635699E-2</v>
      </c>
      <c r="J61" s="35">
        <v>0.60130000000000006</v>
      </c>
      <c r="K61" s="35">
        <f>(G61*0.6)+(H61*0.15)+(I61*0.1)+(J61*0.15)</f>
        <v>-6.7210095911882275E-2</v>
      </c>
      <c r="L61" s="35">
        <f>K61*-1</f>
        <v>6.7210095911882275E-2</v>
      </c>
    </row>
    <row r="62" spans="2:12" x14ac:dyDescent="0.25">
      <c r="B62" s="27">
        <v>958</v>
      </c>
      <c r="C62" s="27">
        <v>671</v>
      </c>
      <c r="D62" s="27">
        <v>522</v>
      </c>
      <c r="E62" s="27">
        <v>2737</v>
      </c>
      <c r="F62" s="27">
        <v>2872</v>
      </c>
      <c r="G62" s="35">
        <f>(D62/C62)-1</f>
        <v>-0.22205663189269742</v>
      </c>
      <c r="H62" s="36">
        <f>F62/$F$132</f>
        <v>9.4549572683337944E-3</v>
      </c>
      <c r="I62" s="35">
        <f>(F62/E62-1)</f>
        <v>4.9324077457069793E-2</v>
      </c>
      <c r="J62" s="35">
        <v>0.40630000000000005</v>
      </c>
      <c r="K62" s="35">
        <f>(G62*0.6)+(H62*0.15)+(I62*0.1)+(J62*0.15)</f>
        <v>-6.5938327799661411E-2</v>
      </c>
      <c r="L62" s="35">
        <f>K62*-1</f>
        <v>6.5938327799661411E-2</v>
      </c>
    </row>
    <row r="63" spans="2:12" x14ac:dyDescent="0.25">
      <c r="B63" s="27">
        <v>1217</v>
      </c>
      <c r="C63" s="27">
        <v>477</v>
      </c>
      <c r="D63" s="27">
        <v>353</v>
      </c>
      <c r="E63" s="27">
        <v>1689</v>
      </c>
      <c r="F63" s="27">
        <v>1757</v>
      </c>
      <c r="G63" s="35">
        <f>(D63/C63)-1</f>
        <v>-0.25995807127882598</v>
      </c>
      <c r="H63" s="36">
        <f>F63/$F$132</f>
        <v>5.7842478831693859E-3</v>
      </c>
      <c r="I63" s="35">
        <f>(F63/E63-1)</f>
        <v>4.0260509177027837E-2</v>
      </c>
      <c r="J63" s="35">
        <v>0.58219999999999994</v>
      </c>
      <c r="K63" s="35">
        <f>(G63*0.6)+(H63*0.15)+(I63*0.1)+(J63*0.15)</f>
        <v>-6.3751154667117421E-2</v>
      </c>
      <c r="L63" s="35">
        <f>K63*-1</f>
        <v>6.3751154667117421E-2</v>
      </c>
    </row>
    <row r="64" spans="2:12" x14ac:dyDescent="0.25">
      <c r="B64" s="27">
        <v>1147</v>
      </c>
      <c r="C64" s="27">
        <v>534</v>
      </c>
      <c r="D64" s="27">
        <v>405</v>
      </c>
      <c r="E64" s="27">
        <v>1905</v>
      </c>
      <c r="F64" s="27">
        <v>1946</v>
      </c>
      <c r="G64" s="35">
        <f>(D64/C64)-1</f>
        <v>-0.2415730337078652</v>
      </c>
      <c r="H64" s="36">
        <f>F64/$F$132</f>
        <v>6.4064578148250572E-3</v>
      </c>
      <c r="I64" s="35">
        <f>(F64/E64-1)</f>
        <v>2.1522309711285992E-2</v>
      </c>
      <c r="J64" s="35">
        <v>0.53290000000000004</v>
      </c>
      <c r="K64" s="35">
        <f>(G64*0.6)+(H64*0.15)+(I64*0.1)+(J64*0.15)</f>
        <v>-6.1895620581366745E-2</v>
      </c>
      <c r="L64" s="35">
        <f>K64*-1</f>
        <v>6.1895620581366745E-2</v>
      </c>
    </row>
    <row r="65" spans="2:12" x14ac:dyDescent="0.25">
      <c r="B65" s="27">
        <v>1258</v>
      </c>
      <c r="C65" s="27">
        <v>36</v>
      </c>
      <c r="D65" s="27">
        <v>29</v>
      </c>
      <c r="E65" s="27">
        <v>325</v>
      </c>
      <c r="F65" s="27">
        <v>344</v>
      </c>
      <c r="G65" s="35">
        <f>(D65/C65)-1</f>
        <v>-0.19444444444444442</v>
      </c>
      <c r="H65" s="36">
        <f>F65/$F$132</f>
        <v>1.1324879179341314E-3</v>
      </c>
      <c r="I65" s="35">
        <f>(F65/E65-1)</f>
        <v>5.8461538461538565E-2</v>
      </c>
      <c r="J65" s="35">
        <v>0.3256</v>
      </c>
      <c r="K65" s="35">
        <f>(G65*0.6)+(H65*0.15)+(I65*0.1)+(J65*0.15)</f>
        <v>-6.1810639632822663E-2</v>
      </c>
      <c r="L65" s="35">
        <f>K65*-1</f>
        <v>6.1810639632822663E-2</v>
      </c>
    </row>
    <row r="66" spans="2:12" x14ac:dyDescent="0.25">
      <c r="B66" s="27">
        <v>961</v>
      </c>
      <c r="C66" s="27">
        <v>171</v>
      </c>
      <c r="D66" s="27">
        <v>131</v>
      </c>
      <c r="E66" s="27">
        <v>612</v>
      </c>
      <c r="F66" s="27">
        <v>609</v>
      </c>
      <c r="G66" s="35">
        <f>(D66/C66)-1</f>
        <v>-0.23391812865497075</v>
      </c>
      <c r="H66" s="36">
        <f>F66/$F$132</f>
        <v>2.0048986686682733E-3</v>
      </c>
      <c r="I66" s="35">
        <f>(F66/E66-1)</f>
        <v>-4.9019607843137081E-3</v>
      </c>
      <c r="J66" s="35">
        <v>0.53859999999999997</v>
      </c>
      <c r="K66" s="35">
        <f>(G66*0.6)+(H66*0.15)+(I66*0.1)+(J66*0.15)</f>
        <v>-5.9750338471113593E-2</v>
      </c>
      <c r="L66" s="35">
        <f>K66*-1</f>
        <v>5.9750338471113593E-2</v>
      </c>
    </row>
    <row r="67" spans="2:12" x14ac:dyDescent="0.25">
      <c r="B67" s="27">
        <v>1148</v>
      </c>
      <c r="C67" s="27">
        <v>314</v>
      </c>
      <c r="D67" s="27">
        <v>239</v>
      </c>
      <c r="E67" s="27">
        <v>1012</v>
      </c>
      <c r="F67" s="27">
        <v>1009</v>
      </c>
      <c r="G67" s="35">
        <f>(D67/C67)-1</f>
        <v>-0.23885350318471332</v>
      </c>
      <c r="H67" s="36">
        <f>F67/$F$132</f>
        <v>3.3217450848707516E-3</v>
      </c>
      <c r="I67" s="35">
        <f>(F67/E67-1)</f>
        <v>-2.9644268774703386E-3</v>
      </c>
      <c r="J67" s="35">
        <v>0.55600000000000005</v>
      </c>
      <c r="K67" s="35">
        <f>(G67*0.6)+(H67*0.15)+(I67*0.1)+(J67*0.15)</f>
        <v>-5.9710282835844425E-2</v>
      </c>
      <c r="L67" s="35">
        <f>K67*-1</f>
        <v>5.9710282835844425E-2</v>
      </c>
    </row>
    <row r="68" spans="2:12" x14ac:dyDescent="0.25">
      <c r="B68" s="27">
        <v>951</v>
      </c>
      <c r="C68" s="27">
        <v>222</v>
      </c>
      <c r="D68" s="27">
        <v>181</v>
      </c>
      <c r="E68" s="27">
        <v>1301</v>
      </c>
      <c r="F68" s="27">
        <v>1325</v>
      </c>
      <c r="G68" s="35">
        <f>(D68/C68)-1</f>
        <v>-0.18468468468468469</v>
      </c>
      <c r="H68" s="36">
        <f>F68/$F$132</f>
        <v>4.3620537536707095E-3</v>
      </c>
      <c r="I68" s="35">
        <f>(F68/E68-1)</f>
        <v>1.8447348193697088E-2</v>
      </c>
      <c r="J68" s="35">
        <v>0.33889999999999998</v>
      </c>
      <c r="K68" s="35">
        <f>(G68*0.6)+(H68*0.15)+(I68*0.1)+(J68*0.15)</f>
        <v>-5.7476767928390481E-2</v>
      </c>
      <c r="L68" s="35">
        <f>K68*-1</f>
        <v>5.7476767928390481E-2</v>
      </c>
    </row>
    <row r="69" spans="2:12" x14ac:dyDescent="0.25">
      <c r="B69" s="27">
        <v>1201</v>
      </c>
      <c r="C69" s="27">
        <v>529</v>
      </c>
      <c r="D69" s="27">
        <v>422</v>
      </c>
      <c r="E69" s="27">
        <v>2401</v>
      </c>
      <c r="F69" s="27">
        <v>2482</v>
      </c>
      <c r="G69" s="35">
        <f>(D69/C69)-1</f>
        <v>-0.2022684310018904</v>
      </c>
      <c r="H69" s="36">
        <f>F69/$F$132</f>
        <v>8.1710320125363781E-3</v>
      </c>
      <c r="I69" s="35">
        <f>(F69/E69-1)</f>
        <v>3.3735943356934639E-2</v>
      </c>
      <c r="J69" s="35">
        <v>0.40369999999999995</v>
      </c>
      <c r="K69" s="35">
        <f>(G69*0.6)+(H69*0.15)+(I69*0.1)+(J69*0.15)</f>
        <v>-5.6206809463560319E-2</v>
      </c>
      <c r="L69" s="35">
        <f>K69*-1</f>
        <v>5.6206809463560319E-2</v>
      </c>
    </row>
    <row r="70" spans="2:12" x14ac:dyDescent="0.25">
      <c r="B70" s="27">
        <v>1053</v>
      </c>
      <c r="C70" s="27">
        <v>560</v>
      </c>
      <c r="D70" s="27">
        <v>426</v>
      </c>
      <c r="E70" s="27">
        <v>1986</v>
      </c>
      <c r="F70" s="27">
        <v>2065</v>
      </c>
      <c r="G70" s="35">
        <f>(D70/C70)-1</f>
        <v>-0.23928571428571432</v>
      </c>
      <c r="H70" s="36">
        <f>F70/$F$132</f>
        <v>6.7982196236452946E-3</v>
      </c>
      <c r="I70" s="35">
        <f>(F70/E70-1)</f>
        <v>3.9778449144008077E-2</v>
      </c>
      <c r="J70" s="35">
        <v>0.55590000000000006</v>
      </c>
      <c r="K70" s="35">
        <f>(G70*0.6)+(H70*0.15)+(I70*0.1)+(J70*0.15)</f>
        <v>-5.5188850713480994E-2</v>
      </c>
      <c r="L70" s="35">
        <f>K70*-1</f>
        <v>5.5188850713480994E-2</v>
      </c>
    </row>
    <row r="71" spans="2:12" x14ac:dyDescent="0.25">
      <c r="B71" s="27">
        <v>1055</v>
      </c>
      <c r="C71" s="27">
        <v>216</v>
      </c>
      <c r="D71" s="27">
        <v>171</v>
      </c>
      <c r="E71" s="27">
        <v>854</v>
      </c>
      <c r="F71" s="27">
        <v>838</v>
      </c>
      <c r="G71" s="35">
        <f>(D71/C71)-1</f>
        <v>-0.20833333333333337</v>
      </c>
      <c r="H71" s="36">
        <f>F71/$F$132</f>
        <v>2.7587932419441919E-3</v>
      </c>
      <c r="I71" s="35">
        <f>(F71/E71-1)</f>
        <v>-1.87353629976581E-2</v>
      </c>
      <c r="J71" s="35">
        <v>0.4869</v>
      </c>
      <c r="K71" s="35">
        <f>(G71*0.6)+(H71*0.15)+(I71*0.1)+(J71*0.15)</f>
        <v>-5.3424717313474215E-2</v>
      </c>
      <c r="L71" s="35">
        <f>K71*-1</f>
        <v>5.3424717313474215E-2</v>
      </c>
    </row>
    <row r="72" spans="2:12" x14ac:dyDescent="0.25">
      <c r="B72" s="27">
        <v>1059</v>
      </c>
      <c r="C72" s="27">
        <v>853</v>
      </c>
      <c r="D72" s="27">
        <v>676</v>
      </c>
      <c r="E72" s="27">
        <v>3667</v>
      </c>
      <c r="F72" s="27">
        <v>3838</v>
      </c>
      <c r="G72" s="35">
        <f>(D72/C72)-1</f>
        <v>-0.20750293083235638</v>
      </c>
      <c r="H72" s="36">
        <f>F72/$F$132</f>
        <v>1.263514136346278E-2</v>
      </c>
      <c r="I72" s="35">
        <f>(F72/E72-1)</f>
        <v>4.663212435233155E-2</v>
      </c>
      <c r="J72" s="35">
        <v>0.4304</v>
      </c>
      <c r="K72" s="35">
        <f>(G72*0.6)+(H72*0.15)+(I72*0.1)+(J72*0.15)</f>
        <v>-5.3383274859661253E-2</v>
      </c>
      <c r="L72" s="35">
        <f>K72*-1</f>
        <v>5.3383274859661253E-2</v>
      </c>
    </row>
    <row r="73" spans="2:12" x14ac:dyDescent="0.25">
      <c r="B73" s="28">
        <v>1192</v>
      </c>
      <c r="C73" s="27">
        <v>2385</v>
      </c>
      <c r="D73" s="27">
        <v>1924</v>
      </c>
      <c r="E73" s="27">
        <v>15942</v>
      </c>
      <c r="F73" s="27">
        <v>17812</v>
      </c>
      <c r="G73" s="35">
        <f>(D73/C73)-1</f>
        <v>-0.19329140461215932</v>
      </c>
      <c r="H73" s="36">
        <f>F73/$F$132</f>
        <v>5.8639170913496359E-2</v>
      </c>
      <c r="I73" s="35">
        <f>(F73/E73-1)</f>
        <v>0.11730021327311513</v>
      </c>
      <c r="J73" s="35">
        <v>0.28933750000000003</v>
      </c>
      <c r="K73" s="35">
        <f>(G73*0.6)+(H73*0.15)+(I73*0.1)+(J73*0.15)</f>
        <v>-5.2048320802959604E-2</v>
      </c>
      <c r="L73" s="35">
        <f>K73*-1</f>
        <v>5.2048320802959604E-2</v>
      </c>
    </row>
    <row r="74" spans="2:12" x14ac:dyDescent="0.25">
      <c r="B74" s="27">
        <v>1191</v>
      </c>
      <c r="C74" s="27">
        <v>2415</v>
      </c>
      <c r="D74" s="27" t="s">
        <v>160</v>
      </c>
      <c r="E74" s="27">
        <v>10821</v>
      </c>
      <c r="F74" s="27">
        <v>12416</v>
      </c>
      <c r="G74" s="35">
        <f>(D74/C74)-1</f>
        <v>-0.21532091097308492</v>
      </c>
      <c r="H74" s="36">
        <f>F74/$F$132</f>
        <v>4.0874912758924929E-2</v>
      </c>
      <c r="I74" s="35">
        <f>(F74/E74-1)</f>
        <v>0.14739857684132707</v>
      </c>
      <c r="J74" s="35">
        <v>0.39360000000000001</v>
      </c>
      <c r="K74" s="35">
        <f>(G74*0.6)+(H74*0.15)+(I74*0.1)+(J74*0.15)</f>
        <v>-4.9281451985879521E-2</v>
      </c>
      <c r="L74" s="35">
        <f>K74*-1</f>
        <v>4.9281451985879521E-2</v>
      </c>
    </row>
    <row r="75" spans="2:12" x14ac:dyDescent="0.25">
      <c r="B75" s="27">
        <v>950</v>
      </c>
      <c r="C75" s="27">
        <v>278</v>
      </c>
      <c r="D75" s="27">
        <v>226</v>
      </c>
      <c r="E75" s="27">
        <v>1268</v>
      </c>
      <c r="F75" s="27">
        <v>1313</v>
      </c>
      <c r="G75" s="35">
        <f>(D75/C75)-1</f>
        <v>-0.18705035971223016</v>
      </c>
      <c r="H75" s="36">
        <f>F75/$F$132</f>
        <v>4.322548361184635E-3</v>
      </c>
      <c r="I75" s="35">
        <f>(F75/E75-1)</f>
        <v>3.5488958990536279E-2</v>
      </c>
      <c r="J75" s="35">
        <v>0.39219999999999999</v>
      </c>
      <c r="K75" s="35">
        <f>(G75*0.6)+(H75*0.15)+(I75*0.1)+(J75*0.15)</f>
        <v>-4.9202937674106773E-2</v>
      </c>
      <c r="L75" s="35">
        <f>K75*-1</f>
        <v>4.9202937674106773E-2</v>
      </c>
    </row>
    <row r="76" spans="2:12" x14ac:dyDescent="0.25">
      <c r="B76" s="27">
        <v>1012</v>
      </c>
      <c r="C76" s="27">
        <v>335</v>
      </c>
      <c r="D76" s="27">
        <v>267</v>
      </c>
      <c r="E76" s="27">
        <v>1288</v>
      </c>
      <c r="F76" s="27">
        <v>1309</v>
      </c>
      <c r="G76" s="35">
        <f>(D76/C76)-1</f>
        <v>-0.20298507462686566</v>
      </c>
      <c r="H76" s="36">
        <f>F76/$F$132</f>
        <v>4.3093798970226102E-3</v>
      </c>
      <c r="I76" s="35">
        <f>(F76/E76-1)</f>
        <v>1.6304347826086918E-2</v>
      </c>
      <c r="J76" s="35">
        <v>0.47820000000000001</v>
      </c>
      <c r="K76" s="35">
        <f>(G76*0.6)+(H76*0.15)+(I76*0.1)+(J76*0.15)</f>
        <v>-4.7784203008957318E-2</v>
      </c>
      <c r="L76" s="35">
        <f>K76*-1</f>
        <v>4.7784203008957318E-2</v>
      </c>
    </row>
    <row r="77" spans="2:12" x14ac:dyDescent="0.25">
      <c r="B77" s="27">
        <v>1203</v>
      </c>
      <c r="C77" s="27">
        <v>474</v>
      </c>
      <c r="D77" s="27">
        <v>373</v>
      </c>
      <c r="E77" s="27">
        <v>2007</v>
      </c>
      <c r="F77" s="27">
        <v>2024</v>
      </c>
      <c r="G77" s="35">
        <f>(D77/C77)-1</f>
        <v>-0.21308016877637126</v>
      </c>
      <c r="H77" s="36">
        <f>F77/$F$132</f>
        <v>6.6632428659845399E-3</v>
      </c>
      <c r="I77" s="35">
        <f>(F77/E77-1)</f>
        <v>8.4703537618335822E-3</v>
      </c>
      <c r="J77" s="35">
        <v>0.5272</v>
      </c>
      <c r="K77" s="35">
        <f>(G77*0.6)+(H77*0.15)+(I77*0.1)+(J77*0.15)</f>
        <v>-4.6921579459741694E-2</v>
      </c>
      <c r="L77" s="35">
        <f>K77*-1</f>
        <v>4.6921579459741694E-2</v>
      </c>
    </row>
    <row r="78" spans="2:12" x14ac:dyDescent="0.25">
      <c r="B78" s="27">
        <v>1057</v>
      </c>
      <c r="C78" s="27">
        <v>432</v>
      </c>
      <c r="D78" s="27">
        <v>348</v>
      </c>
      <c r="E78" s="27">
        <v>1799</v>
      </c>
      <c r="F78" s="27">
        <v>1848</v>
      </c>
      <c r="G78" s="35">
        <f>(D78/C78)-1</f>
        <v>-0.19444444444444442</v>
      </c>
      <c r="H78" s="36">
        <f>F78/$F$132</f>
        <v>6.0838304428554495E-3</v>
      </c>
      <c r="I78" s="35">
        <f>(F78/E78-1)</f>
        <v>2.7237354085603016E-2</v>
      </c>
      <c r="J78" s="35">
        <v>0.46970000000000001</v>
      </c>
      <c r="K78" s="35">
        <f>(G78*0.6)+(H78*0.15)+(I78*0.1)+(J78*0.15)</f>
        <v>-4.2575356691678015E-2</v>
      </c>
      <c r="L78" s="35">
        <f>K78*-1</f>
        <v>4.2575356691678015E-2</v>
      </c>
    </row>
    <row r="79" spans="2:12" x14ac:dyDescent="0.25">
      <c r="B79" s="27">
        <v>1006</v>
      </c>
      <c r="C79" s="27">
        <v>227</v>
      </c>
      <c r="D79" s="27">
        <v>175</v>
      </c>
      <c r="E79" s="27">
        <v>864</v>
      </c>
      <c r="F79" s="27">
        <v>843</v>
      </c>
      <c r="G79" s="35">
        <f>(D79/C79)-1</f>
        <v>-0.22907488986784141</v>
      </c>
      <c r="H79" s="36">
        <f>F79/$F$132</f>
        <v>2.7752538221467232E-3</v>
      </c>
      <c r="I79" s="35">
        <f>(F79/E79-1)</f>
        <v>-2.430555555555558E-2</v>
      </c>
      <c r="J79" s="35">
        <v>0.66790000000000005</v>
      </c>
      <c r="K79" s="35">
        <f>(G79*0.6)+(H79*0.15)+(I79*0.1)+(J79*0.15)</f>
        <v>-3.9274201402938372E-2</v>
      </c>
      <c r="L79" s="35">
        <f>K79*-1</f>
        <v>3.9274201402938372E-2</v>
      </c>
    </row>
    <row r="80" spans="2:12" x14ac:dyDescent="0.25">
      <c r="B80" s="27">
        <v>1271</v>
      </c>
      <c r="C80" s="27">
        <v>1163</v>
      </c>
      <c r="D80" s="27">
        <v>972</v>
      </c>
      <c r="E80" s="27">
        <v>6556</v>
      </c>
      <c r="F80" s="27">
        <v>6529</v>
      </c>
      <c r="G80" s="35">
        <f>(D80/C80)-1</f>
        <v>-0.16423043852106622</v>
      </c>
      <c r="H80" s="36">
        <f>F80/$F$132</f>
        <v>2.1494225628464952E-2</v>
      </c>
      <c r="I80" s="35">
        <f>(F80/E80-1)</f>
        <v>-4.1183648566198716E-3</v>
      </c>
      <c r="J80" s="35">
        <v>0.37689999999999996</v>
      </c>
      <c r="K80" s="35">
        <f>(G80*0.6)+(H80*0.15)+(I80*0.1)+(J80*0.15)</f>
        <v>-3.9190965754031984E-2</v>
      </c>
      <c r="L80" s="35">
        <f>K80*-1</f>
        <v>3.9190965754031984E-2</v>
      </c>
    </row>
    <row r="81" spans="2:12" x14ac:dyDescent="0.25">
      <c r="B81" s="27">
        <v>1151</v>
      </c>
      <c r="C81" s="27">
        <v>344</v>
      </c>
      <c r="D81" s="27">
        <v>270</v>
      </c>
      <c r="E81" s="27">
        <v>1268</v>
      </c>
      <c r="F81" s="27">
        <v>1293</v>
      </c>
      <c r="G81" s="35">
        <f>(D81/C81)-1</f>
        <v>-0.21511627906976749</v>
      </c>
      <c r="H81" s="36">
        <f>F81/$F$132</f>
        <v>4.2567060403745109E-3</v>
      </c>
      <c r="I81" s="35">
        <f>(F81/E81-1)</f>
        <v>1.9716088328075809E-2</v>
      </c>
      <c r="J81" s="35">
        <v>0.59630000000000005</v>
      </c>
      <c r="K81" s="35">
        <f>(G81*0.6)+(H81*0.15)+(I81*0.1)+(J81*0.15)</f>
        <v>-3.7014652702996712E-2</v>
      </c>
      <c r="L81" s="35">
        <f>K81*-1</f>
        <v>3.7014652702996712E-2</v>
      </c>
    </row>
    <row r="82" spans="2:12" x14ac:dyDescent="0.25">
      <c r="B82" s="27">
        <v>963</v>
      </c>
      <c r="C82" s="27">
        <v>325</v>
      </c>
      <c r="D82" s="27">
        <v>266</v>
      </c>
      <c r="E82" s="27">
        <v>1289</v>
      </c>
      <c r="F82" s="27">
        <v>1299</v>
      </c>
      <c r="G82" s="35">
        <f>(D82/C82)-1</f>
        <v>-0.18153846153846154</v>
      </c>
      <c r="H82" s="36">
        <f>F82/$F$132</f>
        <v>4.2764587366175486E-3</v>
      </c>
      <c r="I82" s="35">
        <f>(F82/E82-1)</f>
        <v>7.7579519006982789E-3</v>
      </c>
      <c r="J82" s="35">
        <v>0.47499999999999998</v>
      </c>
      <c r="K82" s="35">
        <f>(G82*0.6)+(H82*0.15)+(I82*0.1)+(J82*0.15)</f>
        <v>-3.6255812922514452E-2</v>
      </c>
      <c r="L82" s="35">
        <f>K82*-1</f>
        <v>3.6255812922514452E-2</v>
      </c>
    </row>
    <row r="83" spans="2:12" x14ac:dyDescent="0.25">
      <c r="B83" s="27">
        <v>1142</v>
      </c>
      <c r="C83" s="27">
        <v>302</v>
      </c>
      <c r="D83" s="27">
        <v>231</v>
      </c>
      <c r="E83" s="27">
        <v>1492</v>
      </c>
      <c r="F83" s="27">
        <v>1541</v>
      </c>
      <c r="G83" s="35">
        <f>(D83/C83)-1</f>
        <v>-0.23509933774834435</v>
      </c>
      <c r="H83" s="36">
        <f>F83/$F$132</f>
        <v>5.0731508184200472E-3</v>
      </c>
      <c r="I83" s="35">
        <f>(F83/E83-1)</f>
        <v>3.2841823056300345E-2</v>
      </c>
      <c r="J83" s="35">
        <v>0.67230000000000001</v>
      </c>
      <c r="K83" s="35">
        <f>(G83*0.6)+(H83*0.15)+(I83*0.1)+(J83*0.15)</f>
        <v>-3.6169447720613548E-2</v>
      </c>
      <c r="L83" s="35">
        <f>K83*-1</f>
        <v>3.6169447720613548E-2</v>
      </c>
    </row>
    <row r="84" spans="2:12" x14ac:dyDescent="0.25">
      <c r="B84" s="27">
        <v>1145</v>
      </c>
      <c r="C84" s="27">
        <v>399</v>
      </c>
      <c r="D84" s="27">
        <v>320</v>
      </c>
      <c r="E84" s="27">
        <v>1383</v>
      </c>
      <c r="F84" s="27">
        <v>1398</v>
      </c>
      <c r="G84" s="35">
        <f>(D84/C84)-1</f>
        <v>-0.19799498746867172</v>
      </c>
      <c r="H84" s="36">
        <f>F84/$F$132</f>
        <v>4.6023782246276618E-3</v>
      </c>
      <c r="I84" s="35">
        <f>(F84/E84-1)</f>
        <v>1.0845986984815648E-2</v>
      </c>
      <c r="J84" s="35">
        <v>0.55720000000000003</v>
      </c>
      <c r="K84" s="35">
        <f>(G84*0.6)+(H84*0.15)+(I84*0.1)+(J84*0.15)</f>
        <v>-3.3442037049027304E-2</v>
      </c>
      <c r="L84" s="35">
        <f>K84*-1</f>
        <v>3.3442037049027304E-2</v>
      </c>
    </row>
    <row r="85" spans="2:12" x14ac:dyDescent="0.25">
      <c r="B85" s="27">
        <v>1016</v>
      </c>
      <c r="C85" s="27">
        <v>208</v>
      </c>
      <c r="D85" s="27">
        <v>163</v>
      </c>
      <c r="E85" s="27">
        <v>757</v>
      </c>
      <c r="F85" s="27">
        <v>795</v>
      </c>
      <c r="G85" s="35">
        <f>(D85/C85)-1</f>
        <v>-0.21634615384615385</v>
      </c>
      <c r="H85" s="36">
        <f>F85/$F$132</f>
        <v>2.6172322522024258E-3</v>
      </c>
      <c r="I85" s="35">
        <f>(F85/E85-1)</f>
        <v>5.0198150594451763E-2</v>
      </c>
      <c r="J85" s="35">
        <v>0.63519999999999999</v>
      </c>
      <c r="K85" s="35">
        <f>(G85*0.6)+(H85*0.15)+(I85*0.1)+(J85*0.15)</f>
        <v>-2.9115292410416785E-2</v>
      </c>
      <c r="L85" s="35">
        <f>K85*-1</f>
        <v>2.9115292410416785E-2</v>
      </c>
    </row>
    <row r="86" spans="2:12" x14ac:dyDescent="0.25">
      <c r="B86" s="27">
        <v>946</v>
      </c>
      <c r="C86" s="27">
        <v>214</v>
      </c>
      <c r="D86" s="27">
        <v>183</v>
      </c>
      <c r="E86" s="27">
        <v>1011</v>
      </c>
      <c r="F86" s="27">
        <v>998</v>
      </c>
      <c r="G86" s="35">
        <f>(D86/C86)-1</f>
        <v>-0.14485981308411211</v>
      </c>
      <c r="H86" s="36">
        <f>F86/$F$132</f>
        <v>3.2855318084251835E-3</v>
      </c>
      <c r="I86" s="35">
        <f>(F86/E86-1)</f>
        <v>-1.285855588526208E-2</v>
      </c>
      <c r="J86" s="35">
        <v>0.4128</v>
      </c>
      <c r="K86" s="35">
        <f>(G86*0.6)+(H86*0.15)+(I86*0.1)+(J86*0.15)</f>
        <v>-2.5788913667729695E-2</v>
      </c>
      <c r="L86" s="35">
        <f>K86*-1</f>
        <v>2.5788913667729695E-2</v>
      </c>
    </row>
    <row r="87" spans="2:12" x14ac:dyDescent="0.25">
      <c r="B87" s="27">
        <v>1220</v>
      </c>
      <c r="C87" s="27">
        <v>451</v>
      </c>
      <c r="D87" s="27">
        <v>378</v>
      </c>
      <c r="E87" s="27">
        <v>1939</v>
      </c>
      <c r="F87" s="27">
        <v>1977</v>
      </c>
      <c r="G87" s="35">
        <f>(D87/C87)-1</f>
        <v>-0.16186252771618626</v>
      </c>
      <c r="H87" s="36">
        <f>F87/$F$132</f>
        <v>6.5085134120807494E-3</v>
      </c>
      <c r="I87" s="35">
        <f>(F87/E87-1)</f>
        <v>1.9597730789066459E-2</v>
      </c>
      <c r="J87" s="35">
        <v>0.48149999999999998</v>
      </c>
      <c r="K87" s="35">
        <f>(G87*0.6)+(H87*0.15)+(I87*0.1)+(J87*0.15)</f>
        <v>-2.1956466538992997E-2</v>
      </c>
      <c r="L87" s="35">
        <f>K87*-1</f>
        <v>2.1956466538992997E-2</v>
      </c>
    </row>
    <row r="88" spans="2:12" x14ac:dyDescent="0.25">
      <c r="B88" s="27">
        <v>998</v>
      </c>
      <c r="C88" s="27">
        <v>311</v>
      </c>
      <c r="D88" s="27">
        <v>258</v>
      </c>
      <c r="E88" s="27">
        <v>1253</v>
      </c>
      <c r="F88" s="27">
        <v>1283</v>
      </c>
      <c r="G88" s="35">
        <f>(D88/C88)-1</f>
        <v>-0.17041800643086813</v>
      </c>
      <c r="H88" s="36">
        <f>F88/$F$132</f>
        <v>4.2237848799694493E-3</v>
      </c>
      <c r="I88" s="35">
        <f>(F88/E88-1)</f>
        <v>2.3942537909018347E-2</v>
      </c>
      <c r="J88" s="35">
        <v>0.52610000000000001</v>
      </c>
      <c r="K88" s="35">
        <f>(G88*0.6)+(H88*0.15)+(I88*0.1)+(J88*0.15)</f>
        <v>-2.0307982335623628E-2</v>
      </c>
      <c r="L88" s="35">
        <f>K88*-1</f>
        <v>2.0307982335623628E-2</v>
      </c>
    </row>
    <row r="89" spans="2:12" x14ac:dyDescent="0.25">
      <c r="B89" s="27">
        <v>1287</v>
      </c>
      <c r="C89" s="27">
        <v>145</v>
      </c>
      <c r="D89" s="27">
        <v>122</v>
      </c>
      <c r="E89" s="27">
        <v>561</v>
      </c>
      <c r="F89" s="27">
        <v>588</v>
      </c>
      <c r="G89" s="35">
        <f>(D89/C89)-1</f>
        <v>-0.1586206896551724</v>
      </c>
      <c r="H89" s="36">
        <f>F89/$F$132</f>
        <v>1.9357642318176432E-3</v>
      </c>
      <c r="I89" s="35">
        <f>(F89/E89-1)</f>
        <v>4.8128342245989275E-2</v>
      </c>
      <c r="J89" s="35">
        <v>0.49320000000000003</v>
      </c>
      <c r="K89" s="35">
        <f>(G89*0.6)+(H89*0.15)+(I89*0.1)+(J89*0.15)</f>
        <v>-1.608921493373186E-2</v>
      </c>
      <c r="L89" s="35">
        <f>K89*-1</f>
        <v>1.608921493373186E-2</v>
      </c>
    </row>
    <row r="90" spans="2:12" x14ac:dyDescent="0.25">
      <c r="B90" s="27">
        <v>955</v>
      </c>
      <c r="C90" s="27">
        <v>445</v>
      </c>
      <c r="D90" s="27">
        <v>376</v>
      </c>
      <c r="E90" s="27">
        <v>1735</v>
      </c>
      <c r="F90" s="27">
        <v>1798</v>
      </c>
      <c r="G90" s="35">
        <f>(D90/C90)-1</f>
        <v>-0.15505617977528086</v>
      </c>
      <c r="H90" s="36">
        <f>F90/$F$132</f>
        <v>5.9192246408301397E-3</v>
      </c>
      <c r="I90" s="35">
        <f>(F90/E90-1)</f>
        <v>3.6311239193083544E-2</v>
      </c>
      <c r="J90" s="35">
        <v>0.4839</v>
      </c>
      <c r="K90" s="35">
        <f>(G90*0.6)+(H90*0.15)+(I90*0.1)+(J90*0.15)</f>
        <v>-1.592970024973564E-2</v>
      </c>
      <c r="L90" s="35">
        <f>K90*-1</f>
        <v>1.592970024973564E-2</v>
      </c>
    </row>
    <row r="91" spans="2:12" x14ac:dyDescent="0.25">
      <c r="B91" s="27">
        <v>1002</v>
      </c>
      <c r="C91" s="27">
        <v>229</v>
      </c>
      <c r="D91" s="27">
        <v>194</v>
      </c>
      <c r="E91" s="27">
        <v>876</v>
      </c>
      <c r="F91" s="27">
        <v>863</v>
      </c>
      <c r="G91" s="35">
        <f>(D91/C91)-1</f>
        <v>-0.15283842794759828</v>
      </c>
      <c r="H91" s="36">
        <f>F91/$F$132</f>
        <v>2.8410961429568469E-3</v>
      </c>
      <c r="I91" s="35">
        <f>(F91/E91-1)</f>
        <v>-1.4840182648401812E-2</v>
      </c>
      <c r="J91" s="35">
        <v>0.51800000000000002</v>
      </c>
      <c r="K91" s="35">
        <f>(G91*0.6)+(H91*0.15)+(I91*0.1)+(J91*0.15)</f>
        <v>-1.5060910611955608E-2</v>
      </c>
      <c r="L91" s="35">
        <f>K91*-1</f>
        <v>1.5060910611955608E-2</v>
      </c>
    </row>
    <row r="92" spans="2:12" x14ac:dyDescent="0.25">
      <c r="B92" s="27">
        <v>960</v>
      </c>
      <c r="C92" s="27">
        <v>348</v>
      </c>
      <c r="D92" s="27">
        <v>297</v>
      </c>
      <c r="E92" s="27">
        <v>1501</v>
      </c>
      <c r="F92" s="27">
        <v>1559</v>
      </c>
      <c r="G92" s="35">
        <f>(D92/C92)-1</f>
        <v>-0.14655172413793105</v>
      </c>
      <c r="H92" s="36">
        <f>F92/$F$132</f>
        <v>5.1324089071491594E-3</v>
      </c>
      <c r="I92" s="35">
        <f>(F92/E92-1)</f>
        <v>3.8640906062624936E-2</v>
      </c>
      <c r="J92" s="35">
        <v>0.45729999999999998</v>
      </c>
      <c r="K92" s="35">
        <f>(G92*0.6)+(H92*0.15)+(I92*0.1)+(J92*0.15)</f>
        <v>-1.4702082540423766E-2</v>
      </c>
      <c r="L92" s="35">
        <f>K92*-1</f>
        <v>1.4702082540423766E-2</v>
      </c>
    </row>
    <row r="93" spans="2:12" x14ac:dyDescent="0.25">
      <c r="B93" s="27">
        <v>1056</v>
      </c>
      <c r="C93" s="27">
        <v>286</v>
      </c>
      <c r="D93" s="27">
        <v>243</v>
      </c>
      <c r="E93" s="27">
        <v>1148</v>
      </c>
      <c r="F93" s="27">
        <v>1169</v>
      </c>
      <c r="G93" s="35">
        <f>(D93/C93)-1</f>
        <v>-0.15034965034965031</v>
      </c>
      <c r="H93" s="36">
        <f>F93/$F$132</f>
        <v>3.8484836513517427E-3</v>
      </c>
      <c r="I93" s="35">
        <f>(F93/E93-1)</f>
        <v>1.8292682926829285E-2</v>
      </c>
      <c r="J93" s="35">
        <v>0.49439999999999995</v>
      </c>
      <c r="K93" s="35">
        <f>(G93*0.6)+(H93*0.15)+(I93*0.1)+(J93*0.15)</f>
        <v>-1.3643249369404503E-2</v>
      </c>
      <c r="L93" s="35">
        <f>K93*-1</f>
        <v>1.3643249369404503E-2</v>
      </c>
    </row>
    <row r="94" spans="2:12" x14ac:dyDescent="0.25">
      <c r="B94" s="27">
        <v>1250</v>
      </c>
      <c r="C94" s="27">
        <v>421</v>
      </c>
      <c r="D94" s="27">
        <v>370</v>
      </c>
      <c r="E94" s="27">
        <v>2005</v>
      </c>
      <c r="F94" s="27">
        <v>2036</v>
      </c>
      <c r="G94" s="35">
        <f>(D94/C94)-1</f>
        <v>-0.12114014251781469</v>
      </c>
      <c r="H94" s="36">
        <f>F94/$F$132</f>
        <v>6.7027482584706144E-3</v>
      </c>
      <c r="I94" s="35">
        <f>(F94/E94-1)</f>
        <v>1.5461346633416362E-2</v>
      </c>
      <c r="J94" s="35">
        <v>0.37719999999999998</v>
      </c>
      <c r="K94" s="35">
        <f>(G94*0.6)+(H94*0.15)+(I94*0.1)+(J94*0.15)</f>
        <v>-1.3552538608576581E-2</v>
      </c>
      <c r="L94" s="35">
        <f>K94*-1</f>
        <v>1.3552538608576581E-2</v>
      </c>
    </row>
    <row r="95" spans="2:12" x14ac:dyDescent="0.25">
      <c r="B95" s="27">
        <v>1010</v>
      </c>
      <c r="C95" s="27">
        <v>234</v>
      </c>
      <c r="D95" s="27">
        <v>195</v>
      </c>
      <c r="E95" s="27">
        <v>930</v>
      </c>
      <c r="F95" s="27">
        <v>979</v>
      </c>
      <c r="G95" s="35">
        <f>(D95/C95)-1</f>
        <v>-0.16666666666666663</v>
      </c>
      <c r="H95" s="36">
        <f>F95/$F$132</f>
        <v>3.2229816036555658E-3</v>
      </c>
      <c r="I95" s="35">
        <f>(F95/E95-1)</f>
        <v>5.2688172043010795E-2</v>
      </c>
      <c r="J95" s="35">
        <v>0.5383</v>
      </c>
      <c r="K95" s="35">
        <f>(G95*0.6)+(H95*0.15)+(I95*0.1)+(J95*0.15)</f>
        <v>-1.3502735555150566E-2</v>
      </c>
      <c r="L95" s="35">
        <f>K95*-1</f>
        <v>1.3502735555150566E-2</v>
      </c>
    </row>
    <row r="96" spans="2:12" x14ac:dyDescent="0.25">
      <c r="B96" s="27">
        <v>1212</v>
      </c>
      <c r="C96" s="27">
        <v>446</v>
      </c>
      <c r="D96" s="27">
        <v>383</v>
      </c>
      <c r="E96" s="27">
        <v>2028</v>
      </c>
      <c r="F96" s="27">
        <v>1995</v>
      </c>
      <c r="G96" s="35">
        <f>(D96/C96)-1</f>
        <v>-0.14125560538116588</v>
      </c>
      <c r="H96" s="36">
        <f>F96/$F$132</f>
        <v>6.5677715008098606E-3</v>
      </c>
      <c r="I96" s="35">
        <f>(F96/E96-1)</f>
        <v>-1.6272189349112454E-2</v>
      </c>
      <c r="J96" s="35">
        <v>0.48070000000000002</v>
      </c>
      <c r="K96" s="35">
        <f>(G96*0.6)+(H96*0.15)+(I96*0.1)+(J96*0.15)</f>
        <v>-1.32904164384893E-2</v>
      </c>
      <c r="L96" s="35">
        <f>K96*-1</f>
        <v>1.32904164384893E-2</v>
      </c>
    </row>
    <row r="97" spans="2:12" x14ac:dyDescent="0.25">
      <c r="B97" s="27">
        <v>965</v>
      </c>
      <c r="C97" s="27">
        <v>262</v>
      </c>
      <c r="D97" s="27">
        <v>222</v>
      </c>
      <c r="E97" s="27">
        <v>1080</v>
      </c>
      <c r="F97" s="27">
        <v>1087</v>
      </c>
      <c r="G97" s="35">
        <f>(D97/C97)-1</f>
        <v>-0.15267175572519087</v>
      </c>
      <c r="H97" s="36">
        <f>F97/$F$132</f>
        <v>3.5785301360302347E-3</v>
      </c>
      <c r="I97" s="35">
        <f>(F97/E97-1)</f>
        <v>6.4814814814815325E-3</v>
      </c>
      <c r="J97" s="35">
        <v>0.5161</v>
      </c>
      <c r="K97" s="35">
        <f>(G97*0.6)+(H97*0.15)+(I97*0.1)+(J97*0.15)</f>
        <v>-1.3003125766561832E-2</v>
      </c>
      <c r="L97" s="35">
        <f>K97*-1</f>
        <v>1.3003125766561832E-2</v>
      </c>
    </row>
    <row r="98" spans="2:12" x14ac:dyDescent="0.25">
      <c r="B98" s="27">
        <v>1257</v>
      </c>
      <c r="C98" s="27">
        <v>46</v>
      </c>
      <c r="D98" s="27">
        <v>42</v>
      </c>
      <c r="E98" s="27">
        <v>784</v>
      </c>
      <c r="F98" s="27">
        <v>810</v>
      </c>
      <c r="G98" s="35">
        <f>(D98/C98)-1</f>
        <v>-8.6956521739130488E-2</v>
      </c>
      <c r="H98" s="36">
        <f>F98/$F$132</f>
        <v>2.6666139928100186E-3</v>
      </c>
      <c r="I98" s="35">
        <f>(F98/E98-1)</f>
        <v>3.3163265306122458E-2</v>
      </c>
      <c r="J98" s="35">
        <v>0.25309999999999999</v>
      </c>
      <c r="K98" s="35">
        <f>(G98*0.6)+(H98*0.15)+(I98*0.1)+(J98*0.15)</f>
        <v>-1.0492594413944546E-2</v>
      </c>
      <c r="L98" s="35">
        <f>K98*-1</f>
        <v>1.0492594413944546E-2</v>
      </c>
    </row>
    <row r="99" spans="2:12" x14ac:dyDescent="0.25">
      <c r="B99" s="27">
        <v>1252</v>
      </c>
      <c r="C99" s="27">
        <v>267</v>
      </c>
      <c r="D99" s="27">
        <v>240</v>
      </c>
      <c r="E99" s="27">
        <v>1743</v>
      </c>
      <c r="F99" s="27">
        <v>1831</v>
      </c>
      <c r="G99" s="35">
        <f>(D99/C99)-1</f>
        <v>-0.101123595505618</v>
      </c>
      <c r="H99" s="36">
        <f>F99/$F$132</f>
        <v>6.0278644701668447E-3</v>
      </c>
      <c r="I99" s="35">
        <f>(F99/E99-1)</f>
        <v>5.0487664945496169E-2</v>
      </c>
      <c r="J99" s="35">
        <v>0.34079999999999999</v>
      </c>
      <c r="K99" s="35">
        <f>(G99*0.6)+(H99*0.15)+(I99*0.1)+(J99*0.15)</f>
        <v>-3.6012111382961523E-3</v>
      </c>
      <c r="L99" s="35">
        <f>K99*-1</f>
        <v>3.6012111382961523E-3</v>
      </c>
    </row>
    <row r="100" spans="2:12" x14ac:dyDescent="0.25">
      <c r="B100" s="27">
        <v>1009</v>
      </c>
      <c r="C100" s="27">
        <v>302</v>
      </c>
      <c r="D100" s="27">
        <v>260</v>
      </c>
      <c r="E100" s="27">
        <v>1105</v>
      </c>
      <c r="F100" s="27">
        <v>1119</v>
      </c>
      <c r="G100" s="35">
        <f>(D100/C100)-1</f>
        <v>-0.13907284768211925</v>
      </c>
      <c r="H100" s="36">
        <f>F100/$F$132</f>
        <v>3.6838778493264329E-3</v>
      </c>
      <c r="I100" s="35">
        <f>(F100/E100-1)</f>
        <v>1.2669683257918507E-2</v>
      </c>
      <c r="J100" s="35">
        <v>0.54420000000000002</v>
      </c>
      <c r="K100" s="35">
        <f>(G100*0.6)+(H100*0.15)+(I100*0.1)+(J100*0.15)</f>
        <v>5.8413939192647479E-6</v>
      </c>
      <c r="L100" s="35">
        <f>K100*-1</f>
        <v>-5.8413939192647479E-6</v>
      </c>
    </row>
    <row r="101" spans="2:12" x14ac:dyDescent="0.25">
      <c r="B101" s="27">
        <v>1018</v>
      </c>
      <c r="C101" s="27">
        <v>201</v>
      </c>
      <c r="D101" s="27">
        <v>174</v>
      </c>
      <c r="E101" s="27">
        <v>770</v>
      </c>
      <c r="F101" s="27">
        <v>802</v>
      </c>
      <c r="G101" s="35">
        <f>(D101/C101)-1</f>
        <v>-0.13432835820895528</v>
      </c>
      <c r="H101" s="36">
        <f>F101/$F$132</f>
        <v>2.640277064485969E-3</v>
      </c>
      <c r="I101" s="35">
        <f>(F101/E101-1)</f>
        <v>4.1558441558441572E-2</v>
      </c>
      <c r="J101" s="35">
        <v>0.53239999999999998</v>
      </c>
      <c r="K101" s="35">
        <f>(G101*0.6)+(H101*0.15)+(I101*0.1)+(J101*0.15)</f>
        <v>3.8148707901438927E-3</v>
      </c>
      <c r="L101" s="35">
        <f>K101*-1</f>
        <v>-3.8148707901438927E-3</v>
      </c>
    </row>
    <row r="102" spans="2:12" x14ac:dyDescent="0.25">
      <c r="B102" s="27">
        <v>1211</v>
      </c>
      <c r="C102" s="27">
        <v>458</v>
      </c>
      <c r="D102" s="27">
        <v>398</v>
      </c>
      <c r="E102" s="27">
        <v>1647</v>
      </c>
      <c r="F102" s="27">
        <v>1668</v>
      </c>
      <c r="G102" s="35">
        <f>(D102/C102)-1</f>
        <v>-0.13100436681222705</v>
      </c>
      <c r="H102" s="36">
        <f>F102/$F$132</f>
        <v>5.4912495555643343E-3</v>
      </c>
      <c r="I102" s="35">
        <f>(F102/E102-1)</f>
        <v>1.2750455373406133E-2</v>
      </c>
      <c r="J102" s="35">
        <v>0.54020000000000001</v>
      </c>
      <c r="K102" s="35">
        <f>(G102*0.6)+(H102*0.15)+(I102*0.1)+(J102*0.15)</f>
        <v>4.5261128833390535E-3</v>
      </c>
      <c r="L102" s="35">
        <f>K102*-1</f>
        <v>-4.5261128833390535E-3</v>
      </c>
    </row>
    <row r="103" spans="2:12" x14ac:dyDescent="0.25">
      <c r="B103" s="27">
        <v>1020</v>
      </c>
      <c r="C103" s="27">
        <v>302</v>
      </c>
      <c r="D103" s="27">
        <v>265</v>
      </c>
      <c r="E103" s="27">
        <v>1109</v>
      </c>
      <c r="F103" s="27">
        <v>1134</v>
      </c>
      <c r="G103" s="35">
        <f>(D103/C103)-1</f>
        <v>-0.12251655629139069</v>
      </c>
      <c r="H103" s="36">
        <f>F103/$F$132</f>
        <v>3.7332595899340262E-3</v>
      </c>
      <c r="I103" s="35">
        <f>(F103/E103-1)</f>
        <v>2.2542831379621209E-2</v>
      </c>
      <c r="J103" s="35">
        <v>0.51319999999999999</v>
      </c>
      <c r="K103" s="35">
        <f>(G103*0.6)+(H103*0.15)+(I103*0.1)+(J103*0.15)</f>
        <v>6.2843383016178145E-3</v>
      </c>
      <c r="L103" s="35">
        <f>K103*-1</f>
        <v>-6.2843383016178145E-3</v>
      </c>
    </row>
    <row r="104" spans="2:12" x14ac:dyDescent="0.25">
      <c r="B104" s="27">
        <v>1005</v>
      </c>
      <c r="C104" s="27">
        <v>301</v>
      </c>
      <c r="D104" s="27">
        <v>263</v>
      </c>
      <c r="E104" s="27">
        <v>1222</v>
      </c>
      <c r="F104" s="27">
        <v>1206</v>
      </c>
      <c r="G104" s="35">
        <f>(D104/C104)-1</f>
        <v>-0.12624584717607978</v>
      </c>
      <c r="H104" s="36">
        <f>F104/$F$132</f>
        <v>3.9702919448504721E-3</v>
      </c>
      <c r="I104" s="35">
        <f>(F104/E104-1)</f>
        <v>-1.3093289689034338E-2</v>
      </c>
      <c r="J104" s="35">
        <v>0.55469999999999997</v>
      </c>
      <c r="K104" s="35">
        <f>(G104*0.6)+(H104*0.15)+(I104*0.1)+(J104*0.15)</f>
        <v>6.7437065171762622E-3</v>
      </c>
      <c r="L104" s="35">
        <f>K104*-1</f>
        <v>-6.7437065171762622E-3</v>
      </c>
    </row>
    <row r="105" spans="2:12" x14ac:dyDescent="0.25">
      <c r="B105" s="27">
        <v>1008</v>
      </c>
      <c r="C105" s="27">
        <v>266</v>
      </c>
      <c r="D105" s="27">
        <v>235</v>
      </c>
      <c r="E105" s="27">
        <v>1086</v>
      </c>
      <c r="F105" s="27">
        <v>1065</v>
      </c>
      <c r="G105" s="35">
        <f>(D105/C105)-1</f>
        <v>-0.11654135338345861</v>
      </c>
      <c r="H105" s="36">
        <f>F105/$F$132</f>
        <v>3.5061035831390986E-3</v>
      </c>
      <c r="I105" s="35">
        <f>(F105/E105-1)</f>
        <v>-1.9337016574585641E-2</v>
      </c>
      <c r="J105" s="35">
        <v>0.55590000000000006</v>
      </c>
      <c r="K105" s="35">
        <f>(G105*0.6)+(H105*0.15)+(I105*0.1)+(J105*0.15)</f>
        <v>1.2052401849937125E-2</v>
      </c>
      <c r="L105" s="35">
        <f>K105*-1</f>
        <v>-1.2052401849937125E-2</v>
      </c>
    </row>
    <row r="106" spans="2:12" x14ac:dyDescent="0.25">
      <c r="B106" s="27">
        <v>957</v>
      </c>
      <c r="C106" s="27">
        <v>204</v>
      </c>
      <c r="D106" s="27">
        <v>182</v>
      </c>
      <c r="E106" s="27">
        <v>801</v>
      </c>
      <c r="F106" s="27">
        <v>799</v>
      </c>
      <c r="G106" s="35">
        <f>(D106/C106)-1</f>
        <v>-0.10784313725490191</v>
      </c>
      <c r="H106" s="36">
        <f>F106/$F$132</f>
        <v>2.6304007163644506E-3</v>
      </c>
      <c r="I106" s="35">
        <f>(F106/E106-1)</f>
        <v>-2.4968789013732895E-3</v>
      </c>
      <c r="J106" s="35">
        <v>0.51190000000000002</v>
      </c>
      <c r="K106" s="35">
        <f>(G106*0.6)+(H106*0.15)+(I106*0.1)+(J106*0.15)</f>
        <v>1.2223989864376214E-2</v>
      </c>
      <c r="L106" s="35">
        <f>K106*-1</f>
        <v>-1.2223989864376214E-2</v>
      </c>
    </row>
    <row r="107" spans="2:12" x14ac:dyDescent="0.25">
      <c r="B107" s="27">
        <v>1286</v>
      </c>
      <c r="C107" s="27">
        <v>629</v>
      </c>
      <c r="D107" s="27">
        <v>565</v>
      </c>
      <c r="E107" s="27">
        <v>3161</v>
      </c>
      <c r="F107" s="27">
        <v>3390</v>
      </c>
      <c r="G107" s="35">
        <f>(D107/C107)-1</f>
        <v>-0.10174880763116056</v>
      </c>
      <c r="H107" s="36">
        <f>F107/$F$132</f>
        <v>1.1160273377316003E-2</v>
      </c>
      <c r="I107" s="35">
        <f>(F107/E107-1)</f>
        <v>7.2445428661815914E-2</v>
      </c>
      <c r="J107" s="35">
        <v>0.46729999999999999</v>
      </c>
      <c r="K107" s="35">
        <f>(G107*0.6)+(H107*0.15)+(I107*0.1)+(J107*0.15)</f>
        <v>1.7964299294082643E-2</v>
      </c>
      <c r="L107" s="35">
        <f>K107*-1</f>
        <v>-1.7964299294082643E-2</v>
      </c>
    </row>
    <row r="108" spans="2:12" x14ac:dyDescent="0.25">
      <c r="B108" s="27">
        <v>1149</v>
      </c>
      <c r="C108" s="27">
        <v>252</v>
      </c>
      <c r="D108" s="27">
        <v>224</v>
      </c>
      <c r="E108" s="27">
        <v>851</v>
      </c>
      <c r="F108" s="27">
        <v>840</v>
      </c>
      <c r="G108" s="35">
        <f>(D108/C108)-1</f>
        <v>-0.11111111111111116</v>
      </c>
      <c r="H108" s="36">
        <f>F108/$F$132</f>
        <v>2.7653774740252044E-3</v>
      </c>
      <c r="I108" s="35">
        <f>(F108/E108-1)</f>
        <v>-1.292596944770863E-2</v>
      </c>
      <c r="J108" s="35">
        <v>0.57379999999999998</v>
      </c>
      <c r="K108" s="35">
        <f>(G108*0.6)+(H108*0.15)+(I108*0.1)+(J108*0.15)</f>
        <v>1.8525543009666218E-2</v>
      </c>
      <c r="L108" s="35">
        <f>K108*-1</f>
        <v>-1.8525543009666218E-2</v>
      </c>
    </row>
    <row r="109" spans="2:12" x14ac:dyDescent="0.25">
      <c r="B109" s="27">
        <v>1161</v>
      </c>
      <c r="C109" s="27">
        <v>246</v>
      </c>
      <c r="D109" s="27">
        <v>219</v>
      </c>
      <c r="E109" s="27">
        <v>1008</v>
      </c>
      <c r="F109" s="27">
        <v>1003</v>
      </c>
      <c r="G109" s="35">
        <f>(D109/C109)-1</f>
        <v>-0.1097560975609756</v>
      </c>
      <c r="H109" s="36">
        <f>F109/$F$132</f>
        <v>3.3019923886277143E-3</v>
      </c>
      <c r="I109" s="35">
        <f>(F109/E109-1)</f>
        <v>-4.9603174603174427E-3</v>
      </c>
      <c r="J109" s="35">
        <v>0.62409999999999999</v>
      </c>
      <c r="K109" s="35">
        <f>(G109*0.6)+(H109*0.15)+(I109*0.1)+(J109*0.15)</f>
        <v>2.7760608575677054E-2</v>
      </c>
      <c r="L109" s="35">
        <f>K109*-1</f>
        <v>-2.7760608575677054E-2</v>
      </c>
    </row>
    <row r="110" spans="2:12" x14ac:dyDescent="0.25">
      <c r="B110" s="27">
        <v>1222</v>
      </c>
      <c r="C110" s="27">
        <v>725</v>
      </c>
      <c r="D110" s="27">
        <v>673</v>
      </c>
      <c r="E110" s="27">
        <v>3609</v>
      </c>
      <c r="F110" s="27">
        <v>3736</v>
      </c>
      <c r="G110" s="35">
        <f>(D110/C110)-1</f>
        <v>-7.1724137931034493E-2</v>
      </c>
      <c r="H110" s="36">
        <f>F110/$F$132</f>
        <v>1.2299345527331147E-2</v>
      </c>
      <c r="I110" s="35">
        <f>(F110/E110-1)</f>
        <v>3.5189803269603859E-2</v>
      </c>
      <c r="J110" s="35">
        <v>0.4657</v>
      </c>
      <c r="K110" s="35">
        <f>(G110*0.6)+(H110*0.15)+(I110*0.1)+(J110*0.15)</f>
        <v>3.2184399397439369E-2</v>
      </c>
      <c r="L110" s="35">
        <f>K110*-1</f>
        <v>-3.2184399397439369E-2</v>
      </c>
    </row>
    <row r="111" spans="2:12" x14ac:dyDescent="0.25">
      <c r="B111" s="27">
        <v>1061</v>
      </c>
      <c r="C111" s="27">
        <v>121</v>
      </c>
      <c r="D111" s="27">
        <v>107</v>
      </c>
      <c r="E111" s="27">
        <v>365</v>
      </c>
      <c r="F111" s="27">
        <v>368</v>
      </c>
      <c r="G111" s="35">
        <f>(D111/C111)-1</f>
        <v>-0.11570247933884292</v>
      </c>
      <c r="H111" s="36">
        <f>F111/$F$132</f>
        <v>1.2114987029062801E-3</v>
      </c>
      <c r="I111" s="35">
        <f>(F111/E111-1)</f>
        <v>8.2191780821918581E-3</v>
      </c>
      <c r="J111" s="35">
        <v>0.67390000000000005</v>
      </c>
      <c r="K111" s="35">
        <f>(G111*0.6)+(H111*0.15)+(I111*0.1)+(J111*0.15)</f>
        <v>3.2667155010349391E-2</v>
      </c>
      <c r="L111" s="35">
        <f>K111*-1</f>
        <v>-3.2667155010349391E-2</v>
      </c>
    </row>
    <row r="112" spans="2:12" x14ac:dyDescent="0.25">
      <c r="B112" s="27">
        <v>1150</v>
      </c>
      <c r="C112" s="27">
        <v>375</v>
      </c>
      <c r="D112" s="27">
        <v>349</v>
      </c>
      <c r="E112" s="27">
        <v>1372</v>
      </c>
      <c r="F112" s="27">
        <v>1433</v>
      </c>
      <c r="G112" s="35">
        <f>(D112/C112)-1</f>
        <v>-6.9333333333333358E-2</v>
      </c>
      <c r="H112" s="36">
        <f>F112/$F$132</f>
        <v>4.7176022860453788E-3</v>
      </c>
      <c r="I112" s="35">
        <f>(F112/E112-1)</f>
        <v>4.4460641399416856E-2</v>
      </c>
      <c r="J112" s="35">
        <v>0.5534</v>
      </c>
      <c r="K112" s="35">
        <f>(G112*0.6)+(H112*0.15)+(I112*0.1)+(J112*0.15)</f>
        <v>4.6563704482848481E-2</v>
      </c>
      <c r="L112" s="35">
        <f>K112*-1</f>
        <v>-4.6563704482848481E-2</v>
      </c>
    </row>
    <row r="113" spans="2:12" x14ac:dyDescent="0.25">
      <c r="B113" s="27">
        <v>1260</v>
      </c>
      <c r="C113" s="27">
        <v>111</v>
      </c>
      <c r="D113" s="27">
        <v>107</v>
      </c>
      <c r="E113" s="27">
        <v>882</v>
      </c>
      <c r="F113" s="27">
        <v>897</v>
      </c>
      <c r="G113" s="35">
        <f>(D113/C113)-1</f>
        <v>-3.6036036036036001E-2</v>
      </c>
      <c r="H113" s="36">
        <f>F113/$F$132</f>
        <v>2.9530280883340574E-3</v>
      </c>
      <c r="I113" s="35">
        <f>(F113/E113-1)</f>
        <v>1.7006802721088343E-2</v>
      </c>
      <c r="J113" s="35">
        <v>0.47600000000000003</v>
      </c>
      <c r="K113" s="35">
        <f>(G113*0.6)+(H113*0.15)+(I113*0.1)+(J113*0.15)</f>
        <v>5.1922012863737349E-2</v>
      </c>
      <c r="L113" s="35">
        <f>K113*-1</f>
        <v>-5.1922012863737349E-2</v>
      </c>
    </row>
    <row r="114" spans="2:12" x14ac:dyDescent="0.25">
      <c r="B114" s="27">
        <v>1007</v>
      </c>
      <c r="C114" s="27">
        <v>275</v>
      </c>
      <c r="D114" s="27">
        <v>259</v>
      </c>
      <c r="E114" s="27">
        <v>1090</v>
      </c>
      <c r="F114" s="27">
        <v>1101</v>
      </c>
      <c r="G114" s="35">
        <f>(D114/C114)-1</f>
        <v>-5.8181818181818223E-2</v>
      </c>
      <c r="H114" s="36">
        <f>F114/$F$132</f>
        <v>3.6246197605973216E-3</v>
      </c>
      <c r="I114" s="35">
        <f>(F114/E114-1)</f>
        <v>1.0091743119265972E-2</v>
      </c>
      <c r="J114" s="35">
        <v>0.59040000000000004</v>
      </c>
      <c r="K114" s="35">
        <f>(G114*0.6)+(H114*0.15)+(I114*0.1)+(J114*0.15)</f>
        <v>5.5203776366925264E-2</v>
      </c>
      <c r="L114" s="35">
        <f>K114*-1</f>
        <v>-5.5203776366925264E-2</v>
      </c>
    </row>
    <row r="115" spans="2:12" x14ac:dyDescent="0.25">
      <c r="B115" s="28">
        <v>1265</v>
      </c>
      <c r="C115" s="27">
        <v>627</v>
      </c>
      <c r="D115" s="27">
        <v>596</v>
      </c>
      <c r="E115" s="27">
        <v>2844</v>
      </c>
      <c r="F115" s="27">
        <v>3630</v>
      </c>
      <c r="G115" s="35">
        <f>(D115/C115)-1</f>
        <v>-4.9441786283891509E-2</v>
      </c>
      <c r="H115" s="36">
        <f>F115/$F$132</f>
        <v>1.1950381227037491E-2</v>
      </c>
      <c r="I115" s="35">
        <f>(F115/E115-1)</f>
        <v>0.2763713080168777</v>
      </c>
      <c r="J115" s="35">
        <v>0.40659999999999996</v>
      </c>
      <c r="K115" s="35">
        <f>(G115*0.6)+(H115*0.15)+(I115*0.1)+(J115*0.15)</f>
        <v>6.075461621540848E-2</v>
      </c>
      <c r="L115" s="35">
        <f>K115*-1</f>
        <v>-6.075461621540848E-2</v>
      </c>
    </row>
    <row r="116" spans="2:12" x14ac:dyDescent="0.25">
      <c r="B116" s="27">
        <v>1248</v>
      </c>
      <c r="C116" s="27">
        <v>100</v>
      </c>
      <c r="D116" s="27">
        <v>100</v>
      </c>
      <c r="E116" s="27">
        <v>725</v>
      </c>
      <c r="F116" s="27">
        <v>768</v>
      </c>
      <c r="G116" s="35">
        <f>(D116/C116)-1</f>
        <v>0</v>
      </c>
      <c r="H116" s="36">
        <f>F116/$F$132</f>
        <v>2.5283451191087584E-3</v>
      </c>
      <c r="I116" s="35">
        <f>(F116/E116-1)</f>
        <v>5.9310344827586237E-2</v>
      </c>
      <c r="J116" s="35">
        <v>0.3906</v>
      </c>
      <c r="K116" s="35">
        <f>(G116*0.6)+(H116*0.15)+(I116*0.1)+(J116*0.15)</f>
        <v>6.4900286250624939E-2</v>
      </c>
      <c r="L116" s="35">
        <f>K116*-1</f>
        <v>-6.4900286250624939E-2</v>
      </c>
    </row>
    <row r="117" spans="2:12" x14ac:dyDescent="0.25">
      <c r="B117" s="27">
        <v>952</v>
      </c>
      <c r="C117" s="27">
        <v>1199</v>
      </c>
      <c r="D117" s="27">
        <v>943</v>
      </c>
      <c r="E117" s="27">
        <v>1607</v>
      </c>
      <c r="F117" s="27">
        <v>1653</v>
      </c>
      <c r="G117" s="35">
        <f>(D117/C117)-1</f>
        <v>-0.21351125938281901</v>
      </c>
      <c r="H117" s="36">
        <f>F117/$F$132</f>
        <v>5.4418678149567414E-3</v>
      </c>
      <c r="I117" s="35">
        <f>(F117/E117-1)</f>
        <v>2.862476664592406E-2</v>
      </c>
      <c r="J117" s="35">
        <v>1.3134000000000001</v>
      </c>
      <c r="K117" s="35">
        <f>(G117*0.6)+(H117*0.15)+(I117*0.1)+(J117*0.15)</f>
        <v>7.2582001207144531E-2</v>
      </c>
      <c r="L117" s="35">
        <f>K117*-1</f>
        <v>-7.2582001207144531E-2</v>
      </c>
    </row>
    <row r="118" spans="2:12" x14ac:dyDescent="0.25">
      <c r="B118" s="27">
        <v>1052</v>
      </c>
      <c r="C118" s="27">
        <v>769</v>
      </c>
      <c r="D118" s="27">
        <v>644</v>
      </c>
      <c r="E118" s="27">
        <v>1240</v>
      </c>
      <c r="F118" s="27">
        <v>1277</v>
      </c>
      <c r="G118" s="35">
        <f>(D118/C118)-1</f>
        <v>-0.16254876462938883</v>
      </c>
      <c r="H118" s="36">
        <f>F118/$F$132</f>
        <v>4.2040321837264116E-3</v>
      </c>
      <c r="I118" s="35">
        <f>(F118/E118-1)</f>
        <v>2.9838709677419306E-2</v>
      </c>
      <c r="J118" s="35">
        <v>1.2357</v>
      </c>
      <c r="K118" s="35">
        <f>(G118*0.6)+(H118*0.15)+(I118*0.1)+(J118*0.15)</f>
        <v>9.144021701766758E-2</v>
      </c>
      <c r="L118" s="35">
        <f>K118*-1</f>
        <v>-9.144021701766758E-2</v>
      </c>
    </row>
    <row r="119" spans="2:12" x14ac:dyDescent="0.25">
      <c r="B119" s="27">
        <v>1281</v>
      </c>
      <c r="C119" s="27">
        <v>35</v>
      </c>
      <c r="D119" s="27">
        <v>37</v>
      </c>
      <c r="E119" s="27">
        <v>343</v>
      </c>
      <c r="F119" s="27">
        <v>357</v>
      </c>
      <c r="G119" s="35">
        <f>(D119/C119)-1</f>
        <v>5.7142857142857162E-2</v>
      </c>
      <c r="H119" s="36">
        <f>F119/$F$132</f>
        <v>1.1752854264607119E-3</v>
      </c>
      <c r="I119" s="35">
        <f>(F119/E119-1)</f>
        <v>4.081632653061229E-2</v>
      </c>
      <c r="J119" s="35">
        <v>0.43420000000000003</v>
      </c>
      <c r="K119" s="35">
        <f>(G119*0.6)+(H119*0.15)+(I119*0.1)+(J119*0.15)</f>
        <v>0.10367363975274464</v>
      </c>
      <c r="L119" s="35">
        <f>K119*-1</f>
        <v>-0.10367363975274464</v>
      </c>
    </row>
    <row r="120" spans="2:12" x14ac:dyDescent="0.25">
      <c r="B120" s="27">
        <v>1277</v>
      </c>
      <c r="C120" s="27">
        <v>182</v>
      </c>
      <c r="D120" s="27">
        <v>198</v>
      </c>
      <c r="E120" s="27">
        <v>1924</v>
      </c>
      <c r="F120" s="27">
        <v>2037</v>
      </c>
      <c r="G120" s="35">
        <f>(D120/C120)-1</f>
        <v>8.7912087912087822E-2</v>
      </c>
      <c r="H120" s="36">
        <f>F120/$F$132</f>
        <v>6.7060403745111208E-3</v>
      </c>
      <c r="I120" s="35">
        <f>(F120/E120-1)</f>
        <v>5.8731808731808721E-2</v>
      </c>
      <c r="J120" s="35">
        <v>0.32600000000000001</v>
      </c>
      <c r="K120" s="35">
        <f>(G120*0.6)+(H120*0.15)+(I120*0.1)+(J120*0.15)</f>
        <v>0.10852633967661024</v>
      </c>
      <c r="L120" s="35">
        <f>K120*-1</f>
        <v>-0.10852633967661024</v>
      </c>
    </row>
    <row r="121" spans="2:12" x14ac:dyDescent="0.25">
      <c r="B121" s="27">
        <v>1261</v>
      </c>
      <c r="C121" s="27">
        <v>77</v>
      </c>
      <c r="D121" s="27">
        <v>85</v>
      </c>
      <c r="E121" s="27">
        <v>1065</v>
      </c>
      <c r="F121" s="27">
        <v>1064</v>
      </c>
      <c r="G121" s="35">
        <f>(D121/C121)-1</f>
        <v>0.10389610389610393</v>
      </c>
      <c r="H121" s="36">
        <f>F121/$F$132</f>
        <v>3.5028114670985922E-3</v>
      </c>
      <c r="I121" s="35">
        <f>(F121/E121-1)</f>
        <v>-9.389671361502705E-4</v>
      </c>
      <c r="J121" s="35">
        <v>0.38909999999999995</v>
      </c>
      <c r="K121" s="35">
        <f>(G121*0.6)+(H121*0.15)+(I121*0.1)+(J121*0.15)</f>
        <v>0.1211341873441121</v>
      </c>
      <c r="L121" s="35">
        <f>K121*-1</f>
        <v>-0.1211341873441121</v>
      </c>
    </row>
    <row r="122" spans="2:12" x14ac:dyDescent="0.25">
      <c r="B122" s="27">
        <v>1256</v>
      </c>
      <c r="C122" s="27">
        <v>81</v>
      </c>
      <c r="D122" s="27">
        <v>91</v>
      </c>
      <c r="E122" s="27">
        <v>1479</v>
      </c>
      <c r="F122" s="27">
        <v>1497</v>
      </c>
      <c r="G122" s="35">
        <f>(D122/C122)-1</f>
        <v>0.12345679012345689</v>
      </c>
      <c r="H122" s="36">
        <f>F122/$F$132</f>
        <v>4.9282977126377751E-3</v>
      </c>
      <c r="I122" s="35">
        <f>(F122/E122-1)</f>
        <v>1.2170385395537497E-2</v>
      </c>
      <c r="J122" s="35">
        <v>0.3019</v>
      </c>
      <c r="K122" s="35">
        <f>(G122*0.6)+(H122*0.15)+(I122*0.1)+(J122*0.15)</f>
        <v>0.12131535727052356</v>
      </c>
      <c r="L122" s="35">
        <f>K122*-1</f>
        <v>-0.12131535727052356</v>
      </c>
    </row>
    <row r="123" spans="2:12" x14ac:dyDescent="0.25">
      <c r="B123" s="27">
        <v>1259</v>
      </c>
      <c r="C123" s="27">
        <v>16</v>
      </c>
      <c r="D123" s="27">
        <v>18</v>
      </c>
      <c r="E123" s="27">
        <v>325</v>
      </c>
      <c r="F123" s="27">
        <v>340</v>
      </c>
      <c r="G123" s="35">
        <f>(D123/C123)-1</f>
        <v>0.125</v>
      </c>
      <c r="H123" s="36">
        <f>F123/$F$132</f>
        <v>1.1193194537721066E-3</v>
      </c>
      <c r="I123" s="35">
        <f>(F123/E123-1)</f>
        <v>4.6153846153846212E-2</v>
      </c>
      <c r="J123" s="35">
        <v>0.3765</v>
      </c>
      <c r="K123" s="35">
        <f>(G123*0.6)+(H123*0.15)+(I123*0.1)+(J123*0.15)</f>
        <v>0.13625828253345043</v>
      </c>
      <c r="L123" s="35">
        <f>K123*-1</f>
        <v>-0.13625828253345043</v>
      </c>
    </row>
    <row r="124" spans="2:12" x14ac:dyDescent="0.25">
      <c r="B124" s="27">
        <v>1282</v>
      </c>
      <c r="C124" s="27">
        <v>149</v>
      </c>
      <c r="D124" s="27">
        <v>175</v>
      </c>
      <c r="E124" s="27">
        <v>912</v>
      </c>
      <c r="F124" s="27">
        <v>952</v>
      </c>
      <c r="G124" s="35">
        <f>(D124/C124)-1</f>
        <v>0.17449664429530198</v>
      </c>
      <c r="H124" s="36">
        <f>F124/$F$132</f>
        <v>3.1340944705618985E-3</v>
      </c>
      <c r="I124" s="35">
        <f>(F124/E124-1)</f>
        <v>4.3859649122806932E-2</v>
      </c>
      <c r="J124" s="35">
        <v>0.3624</v>
      </c>
      <c r="K124" s="35">
        <f>(G124*0.6)+(H124*0.15)+(I124*0.1)+(J124*0.15)</f>
        <v>0.16391406566004615</v>
      </c>
      <c r="L124" s="35">
        <f>K124*-1</f>
        <v>-0.16391406566004615</v>
      </c>
    </row>
    <row r="125" spans="2:12" x14ac:dyDescent="0.25">
      <c r="B125" s="27">
        <v>1247</v>
      </c>
      <c r="C125" s="27">
        <v>210</v>
      </c>
      <c r="D125" s="27">
        <v>252</v>
      </c>
      <c r="E125" s="27">
        <v>1957</v>
      </c>
      <c r="F125" s="27">
        <v>2079</v>
      </c>
      <c r="G125" s="35">
        <f>(D125/C125)-1</f>
        <v>0.19999999999999996</v>
      </c>
      <c r="H125" s="36">
        <f>F125/$F$132</f>
        <v>6.844309248212381E-3</v>
      </c>
      <c r="I125" s="35">
        <f>(F125/E125-1)</f>
        <v>6.2340316811446028E-2</v>
      </c>
      <c r="J125" s="35">
        <v>0.39490000000000003</v>
      </c>
      <c r="K125" s="35">
        <f>(G125*0.6)+(H125*0.15)+(I125*0.1)+(J125*0.15)</f>
        <v>0.18649567806837644</v>
      </c>
      <c r="L125" s="35">
        <f>K125*-1</f>
        <v>-0.18649567806837644</v>
      </c>
    </row>
    <row r="126" spans="2:12" x14ac:dyDescent="0.25">
      <c r="B126" s="27">
        <v>1266</v>
      </c>
      <c r="C126" s="27">
        <v>117</v>
      </c>
      <c r="D126" s="27">
        <v>144</v>
      </c>
      <c r="E126" s="27">
        <v>1298</v>
      </c>
      <c r="F126" s="27">
        <v>1352</v>
      </c>
      <c r="G126" s="35">
        <f>(D126/C126)-1</f>
        <v>0.23076923076923084</v>
      </c>
      <c r="H126" s="36">
        <f>F126/$F$132</f>
        <v>4.4509408867643768E-3</v>
      </c>
      <c r="I126" s="35">
        <f>(F126/E126-1)</f>
        <v>4.1602465331278982E-2</v>
      </c>
      <c r="J126" s="35">
        <v>0.36979999999999996</v>
      </c>
      <c r="K126" s="35">
        <f>(G126*0.6)+(H126*0.15)+(I126*0.1)+(J126*0.15)</f>
        <v>0.19875942612768105</v>
      </c>
      <c r="L126" s="35">
        <f>K126*-1</f>
        <v>-0.19875942612768105</v>
      </c>
    </row>
    <row r="127" spans="2:12" x14ac:dyDescent="0.25">
      <c r="B127" s="27">
        <v>1240</v>
      </c>
      <c r="C127" s="27">
        <v>275</v>
      </c>
      <c r="D127" s="27">
        <v>343</v>
      </c>
      <c r="E127" s="27">
        <v>1970</v>
      </c>
      <c r="F127" s="27">
        <v>2078</v>
      </c>
      <c r="G127" s="35">
        <f>(D127/C127)-1</f>
        <v>0.24727272727272731</v>
      </c>
      <c r="H127" s="36">
        <f>F127/$F$132</f>
        <v>6.8410171321718746E-3</v>
      </c>
      <c r="I127" s="35">
        <f>(F127/E127-1)</f>
        <v>5.4822335025380697E-2</v>
      </c>
      <c r="J127" s="35">
        <v>0.39360000000000001</v>
      </c>
      <c r="K127" s="35">
        <f>(G127*0.6)+(H127*0.15)+(I127*0.1)+(J127*0.15)</f>
        <v>0.21391202243600022</v>
      </c>
      <c r="L127" s="35">
        <f>K127*-1</f>
        <v>-0.21391202243600022</v>
      </c>
    </row>
    <row r="128" spans="2:12" x14ac:dyDescent="0.25">
      <c r="B128" s="27">
        <v>1254</v>
      </c>
      <c r="C128" s="27">
        <v>40</v>
      </c>
      <c r="D128" s="27">
        <v>52</v>
      </c>
      <c r="E128" s="27">
        <v>572</v>
      </c>
      <c r="F128" s="27">
        <v>568</v>
      </c>
      <c r="G128" s="35">
        <f>(D128/C128)-1</f>
        <v>0.30000000000000004</v>
      </c>
      <c r="H128" s="36">
        <f>F128/$F$132</f>
        <v>1.8699219110075193E-3</v>
      </c>
      <c r="I128" s="35">
        <f>(F128/E128-1)</f>
        <v>-6.9930069930069783E-3</v>
      </c>
      <c r="J128" s="35">
        <v>0.41020000000000001</v>
      </c>
      <c r="K128" s="35">
        <f>(G128*0.6)+(H128*0.15)+(I128*0.1)+(J128*0.15)</f>
        <v>0.24111118758735045</v>
      </c>
      <c r="L128" s="35">
        <f>K128*-1</f>
        <v>-0.24111118758735045</v>
      </c>
    </row>
    <row r="129" spans="2:12" x14ac:dyDescent="0.25">
      <c r="B129" s="27">
        <v>1239</v>
      </c>
      <c r="C129" s="27">
        <v>243</v>
      </c>
      <c r="D129" s="27">
        <v>333</v>
      </c>
      <c r="E129" s="27">
        <v>2300</v>
      </c>
      <c r="F129" s="27">
        <v>2379</v>
      </c>
      <c r="G129" s="35">
        <f>(D129/C129)-1</f>
        <v>0.37037037037037046</v>
      </c>
      <c r="H129" s="36">
        <f>F129/$F$132</f>
        <v>7.8319440603642401E-3</v>
      </c>
      <c r="I129" s="35">
        <f>(F129/E129-1)</f>
        <v>3.4347826086956523E-2</v>
      </c>
      <c r="J129" s="35">
        <v>0.36820000000000003</v>
      </c>
      <c r="K129" s="35">
        <f>(G129*0.6)+(H129*0.15)+(I129*0.1)+(J129*0.15)</f>
        <v>0.28206179643997253</v>
      </c>
      <c r="L129" s="35">
        <f>K129*-1</f>
        <v>-0.28206179643997253</v>
      </c>
    </row>
    <row r="130" spans="2:12" x14ac:dyDescent="0.25">
      <c r="B130" s="27">
        <v>1255</v>
      </c>
      <c r="C130" s="27">
        <v>38</v>
      </c>
      <c r="D130" s="27">
        <v>59</v>
      </c>
      <c r="E130" s="27">
        <v>1116</v>
      </c>
      <c r="F130" s="27">
        <v>1158</v>
      </c>
      <c r="G130" s="35">
        <f>(D130/C130)-1</f>
        <v>0.55263157894736836</v>
      </c>
      <c r="H130" s="36">
        <f>F130/$F$132</f>
        <v>3.8122703749061747E-3</v>
      </c>
      <c r="I130" s="35">
        <f>(F130/E130-1)</f>
        <v>3.7634408602150504E-2</v>
      </c>
      <c r="J130" s="35">
        <v>0.29100000000000004</v>
      </c>
      <c r="K130" s="35">
        <f>(G130*0.6)+(H130*0.15)+(I130*0.1)+(J130*0.15)</f>
        <v>0.37956422878487206</v>
      </c>
      <c r="L130" s="35">
        <f>K130*-1</f>
        <v>-0.37956422878487206</v>
      </c>
    </row>
    <row r="131" spans="2:12" x14ac:dyDescent="0.25">
      <c r="B131" s="27">
        <v>945</v>
      </c>
      <c r="C131" s="27">
        <v>150</v>
      </c>
      <c r="D131" s="27">
        <v>232</v>
      </c>
      <c r="E131" s="27">
        <v>1711</v>
      </c>
      <c r="F131" s="27">
        <v>1735</v>
      </c>
      <c r="G131" s="35">
        <f>(D131/C131)-1</f>
        <v>0.54666666666666663</v>
      </c>
      <c r="H131" s="36">
        <f>F131/$F$132</f>
        <v>5.7118213302782498E-3</v>
      </c>
      <c r="I131" s="35">
        <f>(F131/E131-1)</f>
        <v>1.4026884862653466E-2</v>
      </c>
      <c r="J131" s="35">
        <v>0.38390000000000002</v>
      </c>
      <c r="K131" s="35">
        <f>(G131*0.6)+(H131*0.15)+(I131*0.1)+(J131*0.15)</f>
        <v>0.38784446168580705</v>
      </c>
      <c r="L131" s="35">
        <f>K131*-1</f>
        <v>-0.38784446168580705</v>
      </c>
    </row>
    <row r="132" spans="2:12" x14ac:dyDescent="0.25">
      <c r="B132" t="s">
        <v>168</v>
      </c>
      <c r="C132" s="37">
        <f>SUBTOTAL(9,C3:C131)</f>
        <v>65096</v>
      </c>
      <c r="D132" s="37">
        <f t="shared" ref="D132:F132" si="0">SUBTOTAL(9,D3:D131)</f>
        <v>41148</v>
      </c>
      <c r="E132" s="37">
        <f t="shared" si="0"/>
        <v>291676</v>
      </c>
      <c r="F132" s="37">
        <f t="shared" si="0"/>
        <v>303756</v>
      </c>
    </row>
  </sheetData>
  <autoFilter ref="B2:L2" xr:uid="{3431A3A9-8886-46E0-A686-15DF917D5452}">
    <sortState xmlns:xlrd2="http://schemas.microsoft.com/office/spreadsheetml/2017/richdata2" ref="B3:L131">
      <sortCondition ref="K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7F3C-4BB2-488E-AB52-3BFBF3F76764}">
  <dimension ref="B2:G156"/>
  <sheetViews>
    <sheetView workbookViewId="0">
      <selection activeCell="I2" sqref="I2"/>
    </sheetView>
  </sheetViews>
  <sheetFormatPr baseColWidth="10" defaultRowHeight="15" x14ac:dyDescent="0.25"/>
  <cols>
    <col min="6" max="6" width="12.42578125" customWidth="1"/>
  </cols>
  <sheetData>
    <row r="2" spans="2:7" ht="45" x14ac:dyDescent="0.25">
      <c r="B2" s="11" t="s">
        <v>166</v>
      </c>
      <c r="C2" s="11" t="s">
        <v>167</v>
      </c>
      <c r="D2" s="11" t="s">
        <v>5</v>
      </c>
      <c r="E2" s="11" t="s">
        <v>2</v>
      </c>
      <c r="F2" s="11" t="s">
        <v>170</v>
      </c>
    </row>
    <row r="3" spans="2:7" x14ac:dyDescent="0.25">
      <c r="B3" s="27">
        <v>941</v>
      </c>
      <c r="C3" s="27" t="s">
        <v>11</v>
      </c>
      <c r="D3" s="27">
        <v>196</v>
      </c>
      <c r="E3" s="27">
        <v>1268</v>
      </c>
      <c r="F3" s="27">
        <v>43.61</v>
      </c>
      <c r="G3" s="39">
        <f>F3/100</f>
        <v>0.43609999999999999</v>
      </c>
    </row>
    <row r="4" spans="2:7" x14ac:dyDescent="0.25">
      <c r="B4" s="27">
        <v>942</v>
      </c>
      <c r="C4" s="27" t="s">
        <v>12</v>
      </c>
      <c r="D4" s="27">
        <v>359</v>
      </c>
      <c r="E4" s="27">
        <v>2485</v>
      </c>
      <c r="F4" s="27">
        <v>38.03</v>
      </c>
      <c r="G4" s="39">
        <f t="shared" ref="G4:G67" si="0">F4/100</f>
        <v>0.38030000000000003</v>
      </c>
    </row>
    <row r="5" spans="2:7" x14ac:dyDescent="0.25">
      <c r="B5" s="27">
        <v>943</v>
      </c>
      <c r="C5" s="27" t="s">
        <v>13</v>
      </c>
      <c r="D5" s="27">
        <v>160</v>
      </c>
      <c r="E5" s="27">
        <v>1037</v>
      </c>
      <c r="F5" s="27">
        <v>40.98</v>
      </c>
      <c r="G5" s="39">
        <f t="shared" si="0"/>
        <v>0.40979999999999994</v>
      </c>
    </row>
    <row r="6" spans="2:7" x14ac:dyDescent="0.25">
      <c r="B6" s="27">
        <v>944</v>
      </c>
      <c r="C6" s="27" t="s">
        <v>14</v>
      </c>
      <c r="D6" s="27">
        <v>224</v>
      </c>
      <c r="E6" s="27">
        <v>1371</v>
      </c>
      <c r="F6" s="27">
        <v>41.21</v>
      </c>
      <c r="G6" s="39">
        <f t="shared" si="0"/>
        <v>0.41210000000000002</v>
      </c>
    </row>
    <row r="7" spans="2:7" x14ac:dyDescent="0.25">
      <c r="B7" s="27">
        <v>945</v>
      </c>
      <c r="C7" s="27" t="s">
        <v>15</v>
      </c>
      <c r="D7" s="27">
        <v>232</v>
      </c>
      <c r="E7" s="27">
        <v>1735</v>
      </c>
      <c r="F7" s="27">
        <v>38.39</v>
      </c>
      <c r="G7" s="39">
        <f t="shared" si="0"/>
        <v>0.38390000000000002</v>
      </c>
    </row>
    <row r="8" spans="2:7" x14ac:dyDescent="0.25">
      <c r="B8" s="27">
        <v>946</v>
      </c>
      <c r="C8" s="27" t="s">
        <v>16</v>
      </c>
      <c r="D8" s="27">
        <v>183</v>
      </c>
      <c r="E8" s="27">
        <v>998</v>
      </c>
      <c r="F8" s="27">
        <v>41.28</v>
      </c>
      <c r="G8" s="39">
        <f t="shared" si="0"/>
        <v>0.4128</v>
      </c>
    </row>
    <row r="9" spans="2:7" x14ac:dyDescent="0.25">
      <c r="B9" s="27">
        <v>947</v>
      </c>
      <c r="C9" s="27" t="s">
        <v>17</v>
      </c>
      <c r="D9" s="27">
        <v>189</v>
      </c>
      <c r="E9" s="27">
        <v>1272</v>
      </c>
      <c r="F9" s="27">
        <v>34.83</v>
      </c>
      <c r="G9" s="39">
        <f t="shared" si="0"/>
        <v>0.3483</v>
      </c>
    </row>
    <row r="10" spans="2:7" x14ac:dyDescent="0.25">
      <c r="B10" s="27">
        <v>948</v>
      </c>
      <c r="C10" s="27" t="s">
        <v>18</v>
      </c>
      <c r="D10" s="27">
        <v>214</v>
      </c>
      <c r="E10" s="27">
        <v>1373</v>
      </c>
      <c r="F10" s="27">
        <v>39.549999999999997</v>
      </c>
      <c r="G10" s="39">
        <f t="shared" si="0"/>
        <v>0.39549999999999996</v>
      </c>
    </row>
    <row r="11" spans="2:7" x14ac:dyDescent="0.25">
      <c r="B11" s="27">
        <v>949</v>
      </c>
      <c r="C11" s="27" t="s">
        <v>19</v>
      </c>
      <c r="D11" s="27">
        <v>435</v>
      </c>
      <c r="E11" s="27">
        <v>2567</v>
      </c>
      <c r="F11" s="27">
        <v>38.18</v>
      </c>
      <c r="G11" s="39">
        <f t="shared" si="0"/>
        <v>0.38179999999999997</v>
      </c>
    </row>
    <row r="12" spans="2:7" x14ac:dyDescent="0.25">
      <c r="B12" s="27">
        <v>950</v>
      </c>
      <c r="C12" s="27" t="s">
        <v>20</v>
      </c>
      <c r="D12" s="27">
        <v>226</v>
      </c>
      <c r="E12" s="27">
        <v>1313</v>
      </c>
      <c r="F12" s="27">
        <v>39.22</v>
      </c>
      <c r="G12" s="39">
        <f t="shared" si="0"/>
        <v>0.39219999999999999</v>
      </c>
    </row>
    <row r="13" spans="2:7" x14ac:dyDescent="0.25">
      <c r="B13" s="27">
        <v>951</v>
      </c>
      <c r="C13" s="27" t="s">
        <v>21</v>
      </c>
      <c r="D13" s="27">
        <v>181</v>
      </c>
      <c r="E13" s="27">
        <v>1325</v>
      </c>
      <c r="F13" s="27">
        <v>33.89</v>
      </c>
      <c r="G13" s="39">
        <f t="shared" si="0"/>
        <v>0.33889999999999998</v>
      </c>
    </row>
    <row r="14" spans="2:7" x14ac:dyDescent="0.25">
      <c r="B14" s="27">
        <v>952</v>
      </c>
      <c r="C14" s="27" t="s">
        <v>22</v>
      </c>
      <c r="D14" s="27">
        <v>943</v>
      </c>
      <c r="E14" s="27">
        <v>1653</v>
      </c>
      <c r="F14" s="27">
        <v>131.34</v>
      </c>
      <c r="G14" s="39">
        <f t="shared" si="0"/>
        <v>1.3134000000000001</v>
      </c>
    </row>
    <row r="15" spans="2:7" x14ac:dyDescent="0.25">
      <c r="B15" s="27">
        <v>953</v>
      </c>
      <c r="C15" s="27" t="s">
        <v>23</v>
      </c>
      <c r="D15" s="27">
        <v>728</v>
      </c>
      <c r="E15" s="27">
        <v>3809</v>
      </c>
      <c r="F15" s="27">
        <v>48.36</v>
      </c>
      <c r="G15" s="39">
        <f t="shared" si="0"/>
        <v>0.48359999999999997</v>
      </c>
    </row>
    <row r="16" spans="2:7" x14ac:dyDescent="0.25">
      <c r="B16" s="27">
        <v>954</v>
      </c>
      <c r="C16" s="27" t="s">
        <v>24</v>
      </c>
      <c r="D16" s="27">
        <v>108</v>
      </c>
      <c r="E16" s="27">
        <v>545</v>
      </c>
      <c r="F16" s="27">
        <v>48.07</v>
      </c>
      <c r="G16" s="39">
        <f t="shared" si="0"/>
        <v>0.48070000000000002</v>
      </c>
    </row>
    <row r="17" spans="2:7" x14ac:dyDescent="0.25">
      <c r="B17" s="27">
        <v>955</v>
      </c>
      <c r="C17" s="27" t="s">
        <v>25</v>
      </c>
      <c r="D17" s="27">
        <v>376</v>
      </c>
      <c r="E17" s="27">
        <v>1798</v>
      </c>
      <c r="F17" s="27">
        <v>48.39</v>
      </c>
      <c r="G17" s="39">
        <f t="shared" si="0"/>
        <v>0.4839</v>
      </c>
    </row>
    <row r="18" spans="2:7" x14ac:dyDescent="0.25">
      <c r="B18" s="27">
        <v>956</v>
      </c>
      <c r="C18" s="27" t="s">
        <v>26</v>
      </c>
      <c r="D18" s="27">
        <v>258</v>
      </c>
      <c r="E18" s="27">
        <v>1429</v>
      </c>
      <c r="F18" s="27">
        <v>45.28</v>
      </c>
      <c r="G18" s="39">
        <f t="shared" si="0"/>
        <v>0.45280000000000004</v>
      </c>
    </row>
    <row r="19" spans="2:7" x14ac:dyDescent="0.25">
      <c r="B19" s="27">
        <v>957</v>
      </c>
      <c r="C19" s="27" t="s">
        <v>27</v>
      </c>
      <c r="D19" s="27">
        <v>182</v>
      </c>
      <c r="E19" s="27">
        <v>799</v>
      </c>
      <c r="F19" s="27">
        <v>51.19</v>
      </c>
      <c r="G19" s="39">
        <f t="shared" si="0"/>
        <v>0.51190000000000002</v>
      </c>
    </row>
    <row r="20" spans="2:7" x14ac:dyDescent="0.25">
      <c r="B20" s="27">
        <v>958</v>
      </c>
      <c r="C20" s="27" t="s">
        <v>28</v>
      </c>
      <c r="D20" s="27">
        <v>522</v>
      </c>
      <c r="E20" s="27">
        <v>2872</v>
      </c>
      <c r="F20" s="27">
        <v>40.630000000000003</v>
      </c>
      <c r="G20" s="39">
        <f t="shared" si="0"/>
        <v>0.40630000000000005</v>
      </c>
    </row>
    <row r="21" spans="2:7" x14ac:dyDescent="0.25">
      <c r="B21" s="27">
        <v>959</v>
      </c>
      <c r="C21" s="27" t="s">
        <v>29</v>
      </c>
      <c r="D21" s="27">
        <v>103</v>
      </c>
      <c r="E21" s="27">
        <v>574</v>
      </c>
      <c r="F21" s="27">
        <v>46.52</v>
      </c>
      <c r="G21" s="39">
        <f t="shared" si="0"/>
        <v>0.46520000000000006</v>
      </c>
    </row>
    <row r="22" spans="2:7" x14ac:dyDescent="0.25">
      <c r="B22" s="27">
        <v>960</v>
      </c>
      <c r="C22" s="27" t="s">
        <v>30</v>
      </c>
      <c r="D22" s="27">
        <v>297</v>
      </c>
      <c r="E22" s="27">
        <v>1559</v>
      </c>
      <c r="F22" s="27">
        <v>45.73</v>
      </c>
      <c r="G22" s="39">
        <f t="shared" si="0"/>
        <v>0.45729999999999998</v>
      </c>
    </row>
    <row r="23" spans="2:7" x14ac:dyDescent="0.25">
      <c r="B23" s="27">
        <v>961</v>
      </c>
      <c r="C23" s="27" t="s">
        <v>31</v>
      </c>
      <c r="D23" s="27">
        <v>131</v>
      </c>
      <c r="E23" s="27">
        <v>609</v>
      </c>
      <c r="F23" s="27">
        <v>53.86</v>
      </c>
      <c r="G23" s="39">
        <f t="shared" si="0"/>
        <v>0.53859999999999997</v>
      </c>
    </row>
    <row r="24" spans="2:7" x14ac:dyDescent="0.25">
      <c r="B24" s="27">
        <v>962</v>
      </c>
      <c r="C24" s="27" t="s">
        <v>32</v>
      </c>
      <c r="D24" s="27">
        <v>172</v>
      </c>
      <c r="E24" s="27">
        <v>926</v>
      </c>
      <c r="F24" s="27">
        <v>48.81</v>
      </c>
      <c r="G24" s="39">
        <f t="shared" si="0"/>
        <v>0.48810000000000003</v>
      </c>
    </row>
    <row r="25" spans="2:7" x14ac:dyDescent="0.25">
      <c r="B25" s="27">
        <v>963</v>
      </c>
      <c r="C25" s="27" t="s">
        <v>33</v>
      </c>
      <c r="D25" s="27">
        <v>266</v>
      </c>
      <c r="E25" s="27">
        <v>1299</v>
      </c>
      <c r="F25" s="27">
        <v>47.5</v>
      </c>
      <c r="G25" s="39">
        <f t="shared" si="0"/>
        <v>0.47499999999999998</v>
      </c>
    </row>
    <row r="26" spans="2:7" x14ac:dyDescent="0.25">
      <c r="B26" s="27">
        <v>964</v>
      </c>
      <c r="C26" s="27" t="s">
        <v>34</v>
      </c>
      <c r="D26" s="27">
        <v>226</v>
      </c>
      <c r="E26" s="27">
        <v>1152</v>
      </c>
      <c r="F26" s="27">
        <v>50.26</v>
      </c>
      <c r="G26" s="39">
        <f t="shared" si="0"/>
        <v>0.50259999999999994</v>
      </c>
    </row>
    <row r="27" spans="2:7" x14ac:dyDescent="0.25">
      <c r="B27" s="27">
        <v>965</v>
      </c>
      <c r="C27" s="27" t="s">
        <v>35</v>
      </c>
      <c r="D27" s="27">
        <v>222</v>
      </c>
      <c r="E27" s="27">
        <v>1087</v>
      </c>
      <c r="F27" s="27">
        <v>51.61</v>
      </c>
      <c r="G27" s="39">
        <f t="shared" si="0"/>
        <v>0.5161</v>
      </c>
    </row>
    <row r="28" spans="2:7" x14ac:dyDescent="0.25">
      <c r="B28" s="27">
        <v>998</v>
      </c>
      <c r="C28" s="27" t="s">
        <v>36</v>
      </c>
      <c r="D28" s="27">
        <v>258</v>
      </c>
      <c r="E28" s="27">
        <v>1283</v>
      </c>
      <c r="F28" s="27">
        <v>52.61</v>
      </c>
      <c r="G28" s="39">
        <f t="shared" si="0"/>
        <v>0.52610000000000001</v>
      </c>
    </row>
    <row r="29" spans="2:7" x14ac:dyDescent="0.25">
      <c r="B29" s="27">
        <v>999</v>
      </c>
      <c r="C29" s="27" t="s">
        <v>37</v>
      </c>
      <c r="D29" s="27">
        <v>214</v>
      </c>
      <c r="E29" s="27">
        <v>1110</v>
      </c>
      <c r="F29" s="27">
        <v>52.25</v>
      </c>
      <c r="G29" s="39">
        <f t="shared" si="0"/>
        <v>0.52249999999999996</v>
      </c>
    </row>
    <row r="30" spans="2:7" x14ac:dyDescent="0.25">
      <c r="B30" s="27">
        <v>1000</v>
      </c>
      <c r="C30" s="27" t="s">
        <v>38</v>
      </c>
      <c r="D30" s="27">
        <v>146</v>
      </c>
      <c r="E30" s="27">
        <v>850</v>
      </c>
      <c r="F30" s="27">
        <v>49.29</v>
      </c>
      <c r="G30" s="39">
        <f t="shared" si="0"/>
        <v>0.4929</v>
      </c>
    </row>
    <row r="31" spans="2:7" x14ac:dyDescent="0.25">
      <c r="B31" s="27">
        <v>1001</v>
      </c>
      <c r="C31" s="27" t="s">
        <v>39</v>
      </c>
      <c r="D31" s="27">
        <v>188</v>
      </c>
      <c r="E31" s="27">
        <v>1059</v>
      </c>
      <c r="F31" s="27">
        <v>53.54</v>
      </c>
      <c r="G31" s="39">
        <f t="shared" si="0"/>
        <v>0.53539999999999999</v>
      </c>
    </row>
    <row r="32" spans="2:7" x14ac:dyDescent="0.25">
      <c r="B32" s="27">
        <v>1002</v>
      </c>
      <c r="C32" s="27" t="s">
        <v>40</v>
      </c>
      <c r="D32" s="27">
        <v>194</v>
      </c>
      <c r="E32" s="27">
        <v>863</v>
      </c>
      <c r="F32" s="27">
        <v>51.8</v>
      </c>
      <c r="G32" s="39">
        <f t="shared" si="0"/>
        <v>0.51800000000000002</v>
      </c>
    </row>
    <row r="33" spans="2:7" x14ac:dyDescent="0.25">
      <c r="B33" s="27">
        <v>1003</v>
      </c>
      <c r="C33" s="27" t="s">
        <v>41</v>
      </c>
      <c r="D33" s="27">
        <v>176</v>
      </c>
      <c r="E33" s="27">
        <v>926</v>
      </c>
      <c r="F33" s="27">
        <v>51.3</v>
      </c>
      <c r="G33" s="39">
        <f t="shared" si="0"/>
        <v>0.51300000000000001</v>
      </c>
    </row>
    <row r="34" spans="2:7" x14ac:dyDescent="0.25">
      <c r="B34" s="27">
        <v>1004</v>
      </c>
      <c r="C34" s="27" t="s">
        <v>42</v>
      </c>
      <c r="D34" s="27">
        <v>112</v>
      </c>
      <c r="E34" s="27">
        <v>539</v>
      </c>
      <c r="F34" s="27">
        <v>50.65</v>
      </c>
      <c r="G34" s="39">
        <f t="shared" si="0"/>
        <v>0.50649999999999995</v>
      </c>
    </row>
    <row r="35" spans="2:7" x14ac:dyDescent="0.25">
      <c r="B35" s="27">
        <v>1005</v>
      </c>
      <c r="C35" s="27" t="s">
        <v>43</v>
      </c>
      <c r="D35" s="27">
        <v>263</v>
      </c>
      <c r="E35" s="27">
        <v>1206</v>
      </c>
      <c r="F35" s="27">
        <v>55.47</v>
      </c>
      <c r="G35" s="39">
        <f t="shared" si="0"/>
        <v>0.55469999999999997</v>
      </c>
    </row>
    <row r="36" spans="2:7" x14ac:dyDescent="0.25">
      <c r="B36" s="27">
        <v>1006</v>
      </c>
      <c r="C36" s="27" t="s">
        <v>44</v>
      </c>
      <c r="D36" s="27">
        <v>175</v>
      </c>
      <c r="E36" s="27">
        <v>843</v>
      </c>
      <c r="F36" s="27">
        <v>66.790000000000006</v>
      </c>
      <c r="G36" s="39">
        <f t="shared" si="0"/>
        <v>0.66790000000000005</v>
      </c>
    </row>
    <row r="37" spans="2:7" x14ac:dyDescent="0.25">
      <c r="B37" s="27">
        <v>1007</v>
      </c>
      <c r="C37" s="27" t="s">
        <v>45</v>
      </c>
      <c r="D37" s="27">
        <v>259</v>
      </c>
      <c r="E37" s="27">
        <v>1101</v>
      </c>
      <c r="F37" s="27">
        <v>59.04</v>
      </c>
      <c r="G37" s="39">
        <f t="shared" si="0"/>
        <v>0.59040000000000004</v>
      </c>
    </row>
    <row r="38" spans="2:7" x14ac:dyDescent="0.25">
      <c r="B38" s="27">
        <v>1008</v>
      </c>
      <c r="C38" s="27" t="s">
        <v>46</v>
      </c>
      <c r="D38" s="27">
        <v>235</v>
      </c>
      <c r="E38" s="27">
        <v>1065</v>
      </c>
      <c r="F38" s="27">
        <v>55.59</v>
      </c>
      <c r="G38" s="39">
        <f t="shared" si="0"/>
        <v>0.55590000000000006</v>
      </c>
    </row>
    <row r="39" spans="2:7" x14ac:dyDescent="0.25">
      <c r="B39" s="27">
        <v>1009</v>
      </c>
      <c r="C39" s="27" t="s">
        <v>47</v>
      </c>
      <c r="D39" s="27">
        <v>260</v>
      </c>
      <c r="E39" s="27">
        <v>1119</v>
      </c>
      <c r="F39" s="27">
        <v>54.42</v>
      </c>
      <c r="G39" s="39">
        <f t="shared" si="0"/>
        <v>0.54420000000000002</v>
      </c>
    </row>
    <row r="40" spans="2:7" x14ac:dyDescent="0.25">
      <c r="B40" s="27">
        <v>1010</v>
      </c>
      <c r="C40" s="27" t="s">
        <v>48</v>
      </c>
      <c r="D40" s="27">
        <v>195</v>
      </c>
      <c r="E40" s="27">
        <v>979</v>
      </c>
      <c r="F40" s="27">
        <v>53.83</v>
      </c>
      <c r="G40" s="39">
        <f t="shared" si="0"/>
        <v>0.5383</v>
      </c>
    </row>
    <row r="41" spans="2:7" x14ac:dyDescent="0.25">
      <c r="B41" s="27">
        <v>1011</v>
      </c>
      <c r="C41" s="27" t="s">
        <v>49</v>
      </c>
      <c r="D41" s="27">
        <v>219</v>
      </c>
      <c r="E41" s="27">
        <v>1254</v>
      </c>
      <c r="F41" s="27">
        <v>46.41</v>
      </c>
      <c r="G41" s="39">
        <f t="shared" si="0"/>
        <v>0.46409999999999996</v>
      </c>
    </row>
    <row r="42" spans="2:7" x14ac:dyDescent="0.25">
      <c r="B42" s="27">
        <v>1012</v>
      </c>
      <c r="C42" s="27" t="s">
        <v>50</v>
      </c>
      <c r="D42" s="27">
        <v>267</v>
      </c>
      <c r="E42" s="27">
        <v>1309</v>
      </c>
      <c r="F42" s="27">
        <v>47.82</v>
      </c>
      <c r="G42" s="39">
        <f t="shared" si="0"/>
        <v>0.47820000000000001</v>
      </c>
    </row>
    <row r="43" spans="2:7" x14ac:dyDescent="0.25">
      <c r="B43" s="27">
        <v>1013</v>
      </c>
      <c r="C43" s="27" t="s">
        <v>51</v>
      </c>
      <c r="D43" s="27">
        <v>231</v>
      </c>
      <c r="E43" s="27">
        <v>1246</v>
      </c>
      <c r="F43" s="27">
        <v>46.15</v>
      </c>
      <c r="G43" s="39">
        <f t="shared" si="0"/>
        <v>0.46149999999999997</v>
      </c>
    </row>
    <row r="44" spans="2:7" x14ac:dyDescent="0.25">
      <c r="B44" s="27">
        <v>1014</v>
      </c>
      <c r="C44" s="27" t="s">
        <v>52</v>
      </c>
      <c r="D44" s="27">
        <v>265</v>
      </c>
      <c r="E44" s="27">
        <v>1375</v>
      </c>
      <c r="F44" s="27">
        <v>48</v>
      </c>
      <c r="G44" s="39">
        <f t="shared" si="0"/>
        <v>0.48</v>
      </c>
    </row>
    <row r="45" spans="2:7" x14ac:dyDescent="0.25">
      <c r="B45" s="27">
        <v>1015</v>
      </c>
      <c r="C45" s="27" t="s">
        <v>53</v>
      </c>
      <c r="D45" s="27">
        <v>254</v>
      </c>
      <c r="E45" s="27">
        <v>1363</v>
      </c>
      <c r="F45" s="27">
        <v>43.8</v>
      </c>
      <c r="G45" s="39">
        <f t="shared" si="0"/>
        <v>0.43799999999999994</v>
      </c>
    </row>
    <row r="46" spans="2:7" x14ac:dyDescent="0.25">
      <c r="B46" s="27">
        <v>1016</v>
      </c>
      <c r="C46" s="27" t="s">
        <v>54</v>
      </c>
      <c r="D46" s="27">
        <v>163</v>
      </c>
      <c r="E46" s="27">
        <v>795</v>
      </c>
      <c r="F46" s="27">
        <v>63.52</v>
      </c>
      <c r="G46" s="39">
        <f t="shared" si="0"/>
        <v>0.63519999999999999</v>
      </c>
    </row>
    <row r="47" spans="2:7" x14ac:dyDescent="0.25">
      <c r="B47" s="29">
        <v>1017</v>
      </c>
      <c r="C47" s="29" t="s">
        <v>55</v>
      </c>
      <c r="D47" s="29"/>
      <c r="E47" s="29"/>
      <c r="F47" s="27"/>
      <c r="G47" s="39">
        <f t="shared" si="0"/>
        <v>0</v>
      </c>
    </row>
    <row r="48" spans="2:7" x14ac:dyDescent="0.25">
      <c r="B48" s="27">
        <v>1018</v>
      </c>
      <c r="C48" s="27" t="s">
        <v>56</v>
      </c>
      <c r="D48" s="27">
        <v>174</v>
      </c>
      <c r="E48" s="27">
        <v>802</v>
      </c>
      <c r="F48" s="27">
        <v>53.24</v>
      </c>
      <c r="G48" s="39">
        <f t="shared" si="0"/>
        <v>0.53239999999999998</v>
      </c>
    </row>
    <row r="49" spans="2:7" x14ac:dyDescent="0.25">
      <c r="B49" s="27">
        <v>1019</v>
      </c>
      <c r="C49" s="27" t="s">
        <v>57</v>
      </c>
      <c r="D49" s="27">
        <v>174</v>
      </c>
      <c r="E49" s="27">
        <v>889</v>
      </c>
      <c r="F49" s="27">
        <v>50.96</v>
      </c>
      <c r="G49" s="39">
        <f t="shared" si="0"/>
        <v>0.50960000000000005</v>
      </c>
    </row>
    <row r="50" spans="2:7" x14ac:dyDescent="0.25">
      <c r="B50" s="27">
        <v>1020</v>
      </c>
      <c r="C50" s="27" t="s">
        <v>58</v>
      </c>
      <c r="D50" s="27">
        <v>265</v>
      </c>
      <c r="E50" s="27">
        <v>1134</v>
      </c>
      <c r="F50" s="27">
        <v>51.32</v>
      </c>
      <c r="G50" s="39">
        <f t="shared" si="0"/>
        <v>0.51319999999999999</v>
      </c>
    </row>
    <row r="51" spans="2:7" x14ac:dyDescent="0.25">
      <c r="B51" s="27">
        <v>1021</v>
      </c>
      <c r="C51" s="27" t="s">
        <v>59</v>
      </c>
      <c r="D51" s="27">
        <v>125</v>
      </c>
      <c r="E51" s="27">
        <v>701</v>
      </c>
      <c r="F51" s="27">
        <v>55.35</v>
      </c>
      <c r="G51" s="39">
        <f t="shared" si="0"/>
        <v>0.55349999999999999</v>
      </c>
    </row>
    <row r="52" spans="2:7" x14ac:dyDescent="0.25">
      <c r="B52" s="27">
        <v>1052</v>
      </c>
      <c r="C52" s="27" t="s">
        <v>60</v>
      </c>
      <c r="D52" s="27">
        <v>644</v>
      </c>
      <c r="E52" s="27">
        <v>1277</v>
      </c>
      <c r="F52" s="27">
        <v>123.57</v>
      </c>
      <c r="G52" s="39">
        <f t="shared" si="0"/>
        <v>1.2357</v>
      </c>
    </row>
    <row r="53" spans="2:7" x14ac:dyDescent="0.25">
      <c r="B53" s="27">
        <v>1053</v>
      </c>
      <c r="C53" s="27" t="s">
        <v>61</v>
      </c>
      <c r="D53" s="27">
        <v>426</v>
      </c>
      <c r="E53" s="27">
        <v>2065</v>
      </c>
      <c r="F53" s="27">
        <v>55.59</v>
      </c>
      <c r="G53" s="39">
        <f t="shared" si="0"/>
        <v>0.55590000000000006</v>
      </c>
    </row>
    <row r="54" spans="2:7" x14ac:dyDescent="0.25">
      <c r="B54" s="27">
        <v>1054</v>
      </c>
      <c r="C54" s="27" t="s">
        <v>62</v>
      </c>
      <c r="D54" s="27">
        <v>211</v>
      </c>
      <c r="E54" s="27">
        <v>977</v>
      </c>
      <c r="F54" s="27">
        <v>47.9</v>
      </c>
      <c r="G54" s="39">
        <f t="shared" si="0"/>
        <v>0.47899999999999998</v>
      </c>
    </row>
    <row r="55" spans="2:7" x14ac:dyDescent="0.25">
      <c r="B55" s="27">
        <v>1055</v>
      </c>
      <c r="C55" s="27" t="s">
        <v>63</v>
      </c>
      <c r="D55" s="27">
        <v>171</v>
      </c>
      <c r="E55" s="27">
        <v>838</v>
      </c>
      <c r="F55" s="27">
        <v>48.69</v>
      </c>
      <c r="G55" s="39">
        <f t="shared" si="0"/>
        <v>0.4869</v>
      </c>
    </row>
    <row r="56" spans="2:7" x14ac:dyDescent="0.25">
      <c r="B56" s="27">
        <v>1056</v>
      </c>
      <c r="C56" s="27" t="s">
        <v>64</v>
      </c>
      <c r="D56" s="27">
        <v>243</v>
      </c>
      <c r="E56" s="27">
        <v>1169</v>
      </c>
      <c r="F56" s="27">
        <v>49.44</v>
      </c>
      <c r="G56" s="39">
        <f t="shared" si="0"/>
        <v>0.49439999999999995</v>
      </c>
    </row>
    <row r="57" spans="2:7" x14ac:dyDescent="0.25">
      <c r="B57" s="27">
        <v>1057</v>
      </c>
      <c r="C57" s="27" t="s">
        <v>65</v>
      </c>
      <c r="D57" s="27">
        <v>348</v>
      </c>
      <c r="E57" s="27">
        <v>1848</v>
      </c>
      <c r="F57" s="27">
        <v>46.97</v>
      </c>
      <c r="G57" s="39">
        <f t="shared" si="0"/>
        <v>0.46970000000000001</v>
      </c>
    </row>
    <row r="58" spans="2:7" x14ac:dyDescent="0.25">
      <c r="B58" s="27">
        <v>1058</v>
      </c>
      <c r="C58" s="27" t="s">
        <v>66</v>
      </c>
      <c r="D58" s="27">
        <v>137</v>
      </c>
      <c r="E58" s="27">
        <v>738</v>
      </c>
      <c r="F58" s="27">
        <v>42.41</v>
      </c>
      <c r="G58" s="39">
        <f t="shared" si="0"/>
        <v>0.42409999999999998</v>
      </c>
    </row>
    <row r="59" spans="2:7" x14ac:dyDescent="0.25">
      <c r="B59" s="27">
        <v>1059</v>
      </c>
      <c r="C59" s="27" t="s">
        <v>67</v>
      </c>
      <c r="D59" s="27">
        <v>676</v>
      </c>
      <c r="E59" s="27">
        <v>3838</v>
      </c>
      <c r="F59" s="27">
        <v>43.04</v>
      </c>
      <c r="G59" s="39">
        <f t="shared" si="0"/>
        <v>0.4304</v>
      </c>
    </row>
    <row r="60" spans="2:7" x14ac:dyDescent="0.25">
      <c r="B60" s="27">
        <v>1060</v>
      </c>
      <c r="C60" s="27" t="s">
        <v>68</v>
      </c>
      <c r="D60" s="27">
        <v>674</v>
      </c>
      <c r="E60" s="27">
        <v>1778</v>
      </c>
      <c r="F60" s="27">
        <v>95.73</v>
      </c>
      <c r="G60" s="39">
        <f t="shared" si="0"/>
        <v>0.95730000000000004</v>
      </c>
    </row>
    <row r="61" spans="2:7" x14ac:dyDescent="0.25">
      <c r="B61" s="27">
        <v>1061</v>
      </c>
      <c r="C61" s="27" t="s">
        <v>69</v>
      </c>
      <c r="D61" s="27">
        <v>107</v>
      </c>
      <c r="E61" s="27">
        <v>368</v>
      </c>
      <c r="F61" s="27">
        <v>67.39</v>
      </c>
      <c r="G61" s="39">
        <f t="shared" si="0"/>
        <v>0.67390000000000005</v>
      </c>
    </row>
    <row r="62" spans="2:7" x14ac:dyDescent="0.25">
      <c r="B62" s="27">
        <v>1141</v>
      </c>
      <c r="C62" s="27" t="s">
        <v>70</v>
      </c>
      <c r="D62" s="27">
        <v>298</v>
      </c>
      <c r="E62" s="27">
        <v>1339</v>
      </c>
      <c r="F62" s="27">
        <v>57.06</v>
      </c>
      <c r="G62" s="39">
        <f t="shared" si="0"/>
        <v>0.5706</v>
      </c>
    </row>
    <row r="63" spans="2:7" x14ac:dyDescent="0.25">
      <c r="B63" s="27">
        <v>1142</v>
      </c>
      <c r="C63" s="27" t="s">
        <v>71</v>
      </c>
      <c r="D63" s="27">
        <v>231</v>
      </c>
      <c r="E63" s="27">
        <v>1541</v>
      </c>
      <c r="F63" s="27">
        <v>67.23</v>
      </c>
      <c r="G63" s="39">
        <f t="shared" si="0"/>
        <v>0.67230000000000001</v>
      </c>
    </row>
    <row r="64" spans="2:7" x14ac:dyDescent="0.25">
      <c r="B64" s="27">
        <v>1143</v>
      </c>
      <c r="C64" s="27" t="s">
        <v>72</v>
      </c>
      <c r="D64" s="27">
        <v>364</v>
      </c>
      <c r="E64" s="27">
        <v>2076</v>
      </c>
      <c r="F64" s="27">
        <v>47.45</v>
      </c>
      <c r="G64" s="39">
        <f t="shared" si="0"/>
        <v>0.47450000000000003</v>
      </c>
    </row>
    <row r="65" spans="2:7" x14ac:dyDescent="0.25">
      <c r="B65" s="27">
        <v>1144</v>
      </c>
      <c r="C65" s="27" t="s">
        <v>73</v>
      </c>
      <c r="D65" s="27">
        <v>209</v>
      </c>
      <c r="E65" s="27">
        <v>982</v>
      </c>
      <c r="F65" s="27">
        <v>56.01</v>
      </c>
      <c r="G65" s="39">
        <f t="shared" si="0"/>
        <v>0.56009999999999993</v>
      </c>
    </row>
    <row r="66" spans="2:7" x14ac:dyDescent="0.25">
      <c r="B66" s="27">
        <v>1145</v>
      </c>
      <c r="C66" s="27" t="s">
        <v>74</v>
      </c>
      <c r="D66" s="27">
        <v>320</v>
      </c>
      <c r="E66" s="27">
        <v>1398</v>
      </c>
      <c r="F66" s="27">
        <v>55.72</v>
      </c>
      <c r="G66" s="39">
        <f t="shared" si="0"/>
        <v>0.55720000000000003</v>
      </c>
    </row>
    <row r="67" spans="2:7" x14ac:dyDescent="0.25">
      <c r="B67" s="27">
        <v>1146</v>
      </c>
      <c r="C67" s="27" t="s">
        <v>75</v>
      </c>
      <c r="D67" s="27">
        <v>215</v>
      </c>
      <c r="E67" s="27">
        <v>1111</v>
      </c>
      <c r="F67" s="27">
        <v>46.35</v>
      </c>
      <c r="G67" s="39">
        <f t="shared" si="0"/>
        <v>0.46350000000000002</v>
      </c>
    </row>
    <row r="68" spans="2:7" x14ac:dyDescent="0.25">
      <c r="B68" s="27">
        <v>1147</v>
      </c>
      <c r="C68" s="27" t="s">
        <v>76</v>
      </c>
      <c r="D68" s="27">
        <v>405</v>
      </c>
      <c r="E68" s="27">
        <v>1946</v>
      </c>
      <c r="F68" s="27">
        <v>53.29</v>
      </c>
      <c r="G68" s="39">
        <f t="shared" ref="G68:G131" si="1">F68/100</f>
        <v>0.53290000000000004</v>
      </c>
    </row>
    <row r="69" spans="2:7" x14ac:dyDescent="0.25">
      <c r="B69" s="27">
        <v>1148</v>
      </c>
      <c r="C69" s="27" t="s">
        <v>77</v>
      </c>
      <c r="D69" s="27">
        <v>239</v>
      </c>
      <c r="E69" s="27">
        <v>1009</v>
      </c>
      <c r="F69" s="27">
        <v>55.6</v>
      </c>
      <c r="G69" s="39">
        <f t="shared" si="1"/>
        <v>0.55600000000000005</v>
      </c>
    </row>
    <row r="70" spans="2:7" x14ac:dyDescent="0.25">
      <c r="B70" s="27">
        <v>1149</v>
      </c>
      <c r="C70" s="27" t="s">
        <v>78</v>
      </c>
      <c r="D70" s="27">
        <v>224</v>
      </c>
      <c r="E70" s="27">
        <v>840</v>
      </c>
      <c r="F70" s="27">
        <v>57.38</v>
      </c>
      <c r="G70" s="39">
        <f t="shared" si="1"/>
        <v>0.57379999999999998</v>
      </c>
    </row>
    <row r="71" spans="2:7" x14ac:dyDescent="0.25">
      <c r="B71" s="27">
        <v>1150</v>
      </c>
      <c r="C71" s="27" t="s">
        <v>79</v>
      </c>
      <c r="D71" s="27">
        <v>349</v>
      </c>
      <c r="E71" s="27">
        <v>1433</v>
      </c>
      <c r="F71" s="27">
        <v>55.34</v>
      </c>
      <c r="G71" s="39">
        <f t="shared" si="1"/>
        <v>0.5534</v>
      </c>
    </row>
    <row r="72" spans="2:7" x14ac:dyDescent="0.25">
      <c r="B72" s="27">
        <v>1151</v>
      </c>
      <c r="C72" s="27" t="s">
        <v>80</v>
      </c>
      <c r="D72" s="27">
        <v>270</v>
      </c>
      <c r="E72" s="27">
        <v>1293</v>
      </c>
      <c r="F72" s="27">
        <v>59.63</v>
      </c>
      <c r="G72" s="39">
        <f t="shared" si="1"/>
        <v>0.59630000000000005</v>
      </c>
    </row>
    <row r="73" spans="2:7" x14ac:dyDescent="0.25">
      <c r="B73" s="27">
        <v>1160</v>
      </c>
      <c r="C73" s="27" t="s">
        <v>81</v>
      </c>
      <c r="D73" s="27">
        <v>781</v>
      </c>
      <c r="E73" s="27">
        <v>3968</v>
      </c>
      <c r="F73" s="27">
        <v>60.13</v>
      </c>
      <c r="G73" s="39">
        <f t="shared" si="1"/>
        <v>0.60130000000000006</v>
      </c>
    </row>
    <row r="74" spans="2:7" x14ac:dyDescent="0.25">
      <c r="B74" s="27">
        <v>1161</v>
      </c>
      <c r="C74" s="27" t="s">
        <v>82</v>
      </c>
      <c r="D74" s="27">
        <v>219</v>
      </c>
      <c r="E74" s="27">
        <v>1003</v>
      </c>
      <c r="F74" s="27">
        <v>62.41</v>
      </c>
      <c r="G74" s="39">
        <f t="shared" si="1"/>
        <v>0.62409999999999999</v>
      </c>
    </row>
    <row r="75" spans="2:7" x14ac:dyDescent="0.25">
      <c r="B75" s="27">
        <v>1191</v>
      </c>
      <c r="C75" s="27" t="s">
        <v>83</v>
      </c>
      <c r="D75" s="27" t="s">
        <v>160</v>
      </c>
      <c r="E75" s="27">
        <v>12416</v>
      </c>
      <c r="F75" s="27">
        <v>39.36</v>
      </c>
      <c r="G75" s="39">
        <f t="shared" si="1"/>
        <v>0.39360000000000001</v>
      </c>
    </row>
    <row r="76" spans="2:7" x14ac:dyDescent="0.25">
      <c r="B76" s="28">
        <v>1192</v>
      </c>
      <c r="C76" s="27" t="s">
        <v>84</v>
      </c>
      <c r="D76" s="27">
        <v>724</v>
      </c>
      <c r="E76" s="27">
        <v>6708</v>
      </c>
      <c r="F76" s="27">
        <v>33.119999999999997</v>
      </c>
      <c r="G76" s="39">
        <f t="shared" si="1"/>
        <v>0.33119999999999999</v>
      </c>
    </row>
    <row r="77" spans="2:7" x14ac:dyDescent="0.25">
      <c r="B77" s="27">
        <v>1193</v>
      </c>
      <c r="C77" s="27" t="s">
        <v>85</v>
      </c>
      <c r="D77" s="27">
        <v>370</v>
      </c>
      <c r="E77" s="27">
        <v>3254</v>
      </c>
      <c r="F77" s="27">
        <v>35.03</v>
      </c>
      <c r="G77" s="39">
        <f t="shared" si="1"/>
        <v>0.3503</v>
      </c>
    </row>
    <row r="78" spans="2:7" x14ac:dyDescent="0.25">
      <c r="B78" s="27">
        <v>1197</v>
      </c>
      <c r="C78" s="27" t="s">
        <v>86</v>
      </c>
      <c r="D78" s="27">
        <v>767</v>
      </c>
      <c r="E78" s="27">
        <v>4271</v>
      </c>
      <c r="F78" s="27">
        <v>47.25</v>
      </c>
      <c r="G78" s="39">
        <f t="shared" si="1"/>
        <v>0.47249999999999998</v>
      </c>
    </row>
    <row r="79" spans="2:7" x14ac:dyDescent="0.25">
      <c r="B79" s="27">
        <v>1198</v>
      </c>
      <c r="C79" s="27" t="s">
        <v>87</v>
      </c>
      <c r="D79" s="27">
        <v>582</v>
      </c>
      <c r="E79" s="27">
        <v>2870</v>
      </c>
      <c r="F79" s="27">
        <v>47.42</v>
      </c>
      <c r="G79" s="39">
        <f t="shared" si="1"/>
        <v>0.47420000000000001</v>
      </c>
    </row>
    <row r="80" spans="2:7" x14ac:dyDescent="0.25">
      <c r="B80" s="27">
        <v>1199</v>
      </c>
      <c r="C80" s="27" t="s">
        <v>88</v>
      </c>
      <c r="D80" s="27">
        <v>699</v>
      </c>
      <c r="E80" s="27">
        <v>4035</v>
      </c>
      <c r="F80" s="27">
        <v>40.049999999999997</v>
      </c>
      <c r="G80" s="39">
        <f t="shared" si="1"/>
        <v>0.40049999999999997</v>
      </c>
    </row>
    <row r="81" spans="2:7" x14ac:dyDescent="0.25">
      <c r="B81" s="27">
        <v>1200</v>
      </c>
      <c r="C81" s="27" t="s">
        <v>89</v>
      </c>
      <c r="D81" s="27">
        <v>422</v>
      </c>
      <c r="E81" s="27">
        <v>2482</v>
      </c>
      <c r="F81" s="27">
        <v>40.369999999999997</v>
      </c>
      <c r="G81" s="39">
        <f t="shared" si="1"/>
        <v>0.40369999999999995</v>
      </c>
    </row>
    <row r="82" spans="2:7" x14ac:dyDescent="0.25">
      <c r="B82" s="27">
        <v>1201</v>
      </c>
      <c r="C82" s="27" t="s">
        <v>90</v>
      </c>
      <c r="D82" s="27">
        <v>601</v>
      </c>
      <c r="E82" s="27">
        <v>3683</v>
      </c>
      <c r="F82" s="27">
        <v>42</v>
      </c>
      <c r="G82" s="39">
        <f t="shared" si="1"/>
        <v>0.42</v>
      </c>
    </row>
    <row r="83" spans="2:7" x14ac:dyDescent="0.25">
      <c r="B83" s="27">
        <v>1202</v>
      </c>
      <c r="C83" s="27" t="s">
        <v>91</v>
      </c>
      <c r="D83" s="27">
        <v>373</v>
      </c>
      <c r="E83" s="27">
        <v>2024</v>
      </c>
      <c r="F83" s="27">
        <v>52.72</v>
      </c>
      <c r="G83" s="39">
        <f t="shared" si="1"/>
        <v>0.5272</v>
      </c>
    </row>
    <row r="84" spans="2:7" x14ac:dyDescent="0.25">
      <c r="B84" s="27">
        <v>1203</v>
      </c>
      <c r="C84" s="27" t="s">
        <v>92</v>
      </c>
      <c r="D84" s="27">
        <v>304</v>
      </c>
      <c r="E84" s="27">
        <v>1808</v>
      </c>
      <c r="F84" s="27">
        <v>45.08</v>
      </c>
      <c r="G84" s="39">
        <f t="shared" si="1"/>
        <v>0.45079999999999998</v>
      </c>
    </row>
    <row r="85" spans="2:7" x14ac:dyDescent="0.25">
      <c r="B85" s="27">
        <v>1204</v>
      </c>
      <c r="C85" s="27" t="s">
        <v>93</v>
      </c>
      <c r="D85" s="27">
        <v>251</v>
      </c>
      <c r="E85" s="27">
        <v>1474</v>
      </c>
      <c r="F85" s="27">
        <v>47.63</v>
      </c>
      <c r="G85" s="39">
        <f t="shared" si="1"/>
        <v>0.4763</v>
      </c>
    </row>
    <row r="86" spans="2:7" x14ac:dyDescent="0.25">
      <c r="B86" s="27">
        <v>1208</v>
      </c>
      <c r="C86" s="27" t="s">
        <v>94</v>
      </c>
      <c r="D86" s="27">
        <v>219</v>
      </c>
      <c r="E86" s="27">
        <v>1565</v>
      </c>
      <c r="F86" s="27">
        <v>40.32</v>
      </c>
      <c r="G86" s="39">
        <f t="shared" si="1"/>
        <v>0.4032</v>
      </c>
    </row>
    <row r="87" spans="2:7" x14ac:dyDescent="0.25">
      <c r="B87" s="27">
        <v>1209</v>
      </c>
      <c r="C87" s="27" t="s">
        <v>95</v>
      </c>
      <c r="D87" s="27">
        <v>165</v>
      </c>
      <c r="E87" s="27">
        <v>906</v>
      </c>
      <c r="F87" s="27">
        <v>53.86</v>
      </c>
      <c r="G87" s="39">
        <f t="shared" si="1"/>
        <v>0.53859999999999997</v>
      </c>
    </row>
    <row r="88" spans="2:7" x14ac:dyDescent="0.25">
      <c r="B88" s="27">
        <v>1210</v>
      </c>
      <c r="C88" s="27" t="s">
        <v>96</v>
      </c>
      <c r="D88" s="27">
        <v>398</v>
      </c>
      <c r="E88" s="27">
        <v>1668</v>
      </c>
      <c r="F88" s="27">
        <v>54.02</v>
      </c>
      <c r="G88" s="39">
        <f t="shared" si="1"/>
        <v>0.54020000000000001</v>
      </c>
    </row>
    <row r="89" spans="2:7" x14ac:dyDescent="0.25">
      <c r="B89" s="27">
        <v>1211</v>
      </c>
      <c r="C89" s="27" t="s">
        <v>97</v>
      </c>
      <c r="D89" s="27">
        <v>383</v>
      </c>
      <c r="E89" s="27">
        <v>1995</v>
      </c>
      <c r="F89" s="27">
        <v>48.07</v>
      </c>
      <c r="G89" s="39">
        <f t="shared" si="1"/>
        <v>0.48070000000000002</v>
      </c>
    </row>
    <row r="90" spans="2:7" x14ac:dyDescent="0.25">
      <c r="B90" s="27">
        <v>1212</v>
      </c>
      <c r="C90" s="27" t="s">
        <v>98</v>
      </c>
      <c r="D90" s="27">
        <v>215</v>
      </c>
      <c r="E90" s="27">
        <v>1192</v>
      </c>
      <c r="F90" s="27">
        <v>50.25</v>
      </c>
      <c r="G90" s="39">
        <f t="shared" si="1"/>
        <v>0.50249999999999995</v>
      </c>
    </row>
    <row r="91" spans="2:7" x14ac:dyDescent="0.25">
      <c r="B91" s="27">
        <v>1213</v>
      </c>
      <c r="C91" s="27" t="s">
        <v>99</v>
      </c>
      <c r="D91" s="27">
        <v>307</v>
      </c>
      <c r="E91" s="27">
        <v>1596</v>
      </c>
      <c r="F91" s="27">
        <v>51.5</v>
      </c>
      <c r="G91" s="39">
        <f t="shared" si="1"/>
        <v>0.51500000000000001</v>
      </c>
    </row>
    <row r="92" spans="2:7" x14ac:dyDescent="0.25">
      <c r="B92" s="27">
        <v>1214</v>
      </c>
      <c r="C92" s="27" t="s">
        <v>100</v>
      </c>
      <c r="D92" s="27">
        <v>853</v>
      </c>
      <c r="E92" s="27">
        <v>6025</v>
      </c>
      <c r="F92" s="27">
        <v>37.909999999999997</v>
      </c>
      <c r="G92" s="39">
        <f t="shared" si="1"/>
        <v>0.37909999999999999</v>
      </c>
    </row>
    <row r="93" spans="2:7" x14ac:dyDescent="0.25">
      <c r="B93" s="27">
        <v>1215</v>
      </c>
      <c r="C93" s="27" t="s">
        <v>101</v>
      </c>
      <c r="D93" s="27" t="s">
        <v>161</v>
      </c>
      <c r="E93" s="27">
        <v>9273</v>
      </c>
      <c r="F93" s="27">
        <v>34.07</v>
      </c>
      <c r="G93" s="39">
        <f t="shared" si="1"/>
        <v>0.3407</v>
      </c>
    </row>
    <row r="94" spans="2:7" x14ac:dyDescent="0.25">
      <c r="B94" s="27">
        <v>1216</v>
      </c>
      <c r="C94" s="27" t="s">
        <v>102</v>
      </c>
      <c r="D94" s="27">
        <v>353</v>
      </c>
      <c r="E94" s="27">
        <v>1757</v>
      </c>
      <c r="F94" s="27">
        <v>58.22</v>
      </c>
      <c r="G94" s="39">
        <f t="shared" si="1"/>
        <v>0.58219999999999994</v>
      </c>
    </row>
    <row r="95" spans="2:7" x14ac:dyDescent="0.25">
      <c r="B95" s="27">
        <v>1217</v>
      </c>
      <c r="C95" s="27" t="s">
        <v>103</v>
      </c>
      <c r="D95" s="27">
        <v>177</v>
      </c>
      <c r="E95" s="27">
        <v>1573</v>
      </c>
      <c r="F95" s="27">
        <v>42.15</v>
      </c>
      <c r="G95" s="39">
        <f t="shared" si="1"/>
        <v>0.42149999999999999</v>
      </c>
    </row>
    <row r="96" spans="2:7" x14ac:dyDescent="0.25">
      <c r="B96" s="27">
        <v>1218</v>
      </c>
      <c r="C96" s="27" t="s">
        <v>104</v>
      </c>
      <c r="D96" s="27">
        <v>317</v>
      </c>
      <c r="E96" s="27">
        <v>1809</v>
      </c>
      <c r="F96" s="27">
        <v>45.77</v>
      </c>
      <c r="G96" s="39">
        <f t="shared" si="1"/>
        <v>0.45770000000000005</v>
      </c>
    </row>
    <row r="97" spans="2:7" x14ac:dyDescent="0.25">
      <c r="B97" s="27">
        <v>1219</v>
      </c>
      <c r="C97" s="27" t="s">
        <v>105</v>
      </c>
      <c r="D97" s="27">
        <v>378</v>
      </c>
      <c r="E97" s="27">
        <v>1977</v>
      </c>
      <c r="F97" s="27">
        <v>48.15</v>
      </c>
      <c r="G97" s="39">
        <f t="shared" si="1"/>
        <v>0.48149999999999998</v>
      </c>
    </row>
    <row r="98" spans="2:7" x14ac:dyDescent="0.25">
      <c r="B98" s="27">
        <v>1220</v>
      </c>
      <c r="C98" s="27" t="s">
        <v>106</v>
      </c>
      <c r="D98" s="27" t="s">
        <v>162</v>
      </c>
      <c r="E98" s="27">
        <v>13824</v>
      </c>
      <c r="F98" s="27">
        <v>43.56</v>
      </c>
      <c r="G98" s="39">
        <f t="shared" si="1"/>
        <v>0.43560000000000004</v>
      </c>
    </row>
    <row r="99" spans="2:7" x14ac:dyDescent="0.25">
      <c r="B99" s="27">
        <v>1221</v>
      </c>
      <c r="C99" s="27" t="s">
        <v>107</v>
      </c>
      <c r="D99" s="27">
        <v>673</v>
      </c>
      <c r="E99" s="27">
        <v>3736</v>
      </c>
      <c r="F99" s="27">
        <v>46.57</v>
      </c>
      <c r="G99" s="39">
        <f t="shared" si="1"/>
        <v>0.4657</v>
      </c>
    </row>
    <row r="100" spans="2:7" x14ac:dyDescent="0.25">
      <c r="B100" s="27">
        <v>1222</v>
      </c>
      <c r="C100" s="27" t="s">
        <v>108</v>
      </c>
      <c r="D100" s="27">
        <v>333</v>
      </c>
      <c r="E100" s="27">
        <v>2379</v>
      </c>
      <c r="F100" s="27">
        <v>36.82</v>
      </c>
      <c r="G100" s="39">
        <f t="shared" si="1"/>
        <v>0.36820000000000003</v>
      </c>
    </row>
    <row r="101" spans="2:7" x14ac:dyDescent="0.25">
      <c r="B101" s="27">
        <v>1239</v>
      </c>
      <c r="C101" s="27" t="s">
        <v>109</v>
      </c>
      <c r="D101" s="27">
        <v>343</v>
      </c>
      <c r="E101" s="27">
        <v>2078</v>
      </c>
      <c r="F101" s="27">
        <v>39.36</v>
      </c>
      <c r="G101" s="39">
        <f t="shared" si="1"/>
        <v>0.39360000000000001</v>
      </c>
    </row>
    <row r="102" spans="2:7" x14ac:dyDescent="0.25">
      <c r="B102" s="27">
        <v>1240</v>
      </c>
      <c r="C102" s="27" t="s">
        <v>110</v>
      </c>
      <c r="D102" s="27">
        <v>252</v>
      </c>
      <c r="E102" s="27">
        <v>2079</v>
      </c>
      <c r="F102" s="27">
        <v>39.49</v>
      </c>
      <c r="G102" s="39">
        <f t="shared" si="1"/>
        <v>0.39490000000000003</v>
      </c>
    </row>
    <row r="103" spans="2:7" x14ac:dyDescent="0.25">
      <c r="B103" s="27">
        <v>1247</v>
      </c>
      <c r="C103" s="27" t="s">
        <v>111</v>
      </c>
      <c r="D103" s="27">
        <v>100</v>
      </c>
      <c r="E103" s="27">
        <v>768</v>
      </c>
      <c r="F103" s="27">
        <v>39.06</v>
      </c>
      <c r="G103" s="39">
        <f t="shared" si="1"/>
        <v>0.3906</v>
      </c>
    </row>
    <row r="104" spans="2:7" x14ac:dyDescent="0.25">
      <c r="B104" s="27">
        <v>1248</v>
      </c>
      <c r="C104" s="27" t="s">
        <v>112</v>
      </c>
      <c r="D104" s="27">
        <v>79</v>
      </c>
      <c r="E104" s="27">
        <v>817</v>
      </c>
      <c r="F104" s="27">
        <v>35.369999999999997</v>
      </c>
      <c r="G104" s="39">
        <f t="shared" si="1"/>
        <v>0.35369999999999996</v>
      </c>
    </row>
    <row r="105" spans="2:7" x14ac:dyDescent="0.25">
      <c r="B105" s="27">
        <v>1249</v>
      </c>
      <c r="C105" s="27" t="s">
        <v>113</v>
      </c>
      <c r="D105" s="27">
        <v>370</v>
      </c>
      <c r="E105" s="27">
        <v>2036</v>
      </c>
      <c r="F105" s="27">
        <v>37.72</v>
      </c>
      <c r="G105" s="39">
        <f t="shared" si="1"/>
        <v>0.37719999999999998</v>
      </c>
    </row>
    <row r="106" spans="2:7" x14ac:dyDescent="0.25">
      <c r="B106" s="27">
        <v>1250</v>
      </c>
      <c r="C106" s="27" t="s">
        <v>114</v>
      </c>
      <c r="D106" s="27">
        <v>153</v>
      </c>
      <c r="E106" s="27">
        <v>1908</v>
      </c>
      <c r="F106" s="27">
        <v>35.06</v>
      </c>
      <c r="G106" s="39">
        <f t="shared" si="1"/>
        <v>0.35060000000000002</v>
      </c>
    </row>
    <row r="107" spans="2:7" x14ac:dyDescent="0.25">
      <c r="B107" s="27">
        <v>1251</v>
      </c>
      <c r="C107" s="27" t="s">
        <v>115</v>
      </c>
      <c r="D107" s="27">
        <v>240</v>
      </c>
      <c r="E107" s="27">
        <v>1831</v>
      </c>
      <c r="F107" s="27">
        <v>34.08</v>
      </c>
      <c r="G107" s="39">
        <f t="shared" si="1"/>
        <v>0.34079999999999999</v>
      </c>
    </row>
    <row r="108" spans="2:7" x14ac:dyDescent="0.25">
      <c r="B108" s="27">
        <v>1252</v>
      </c>
      <c r="C108" s="27" t="s">
        <v>116</v>
      </c>
      <c r="D108" s="27">
        <v>39</v>
      </c>
      <c r="E108" s="27">
        <v>879</v>
      </c>
      <c r="F108" s="27">
        <v>31.63</v>
      </c>
      <c r="G108" s="39">
        <f t="shared" si="1"/>
        <v>0.31629999999999997</v>
      </c>
    </row>
    <row r="109" spans="2:7" x14ac:dyDescent="0.25">
      <c r="B109" s="27">
        <v>1253</v>
      </c>
      <c r="C109" s="27" t="s">
        <v>117</v>
      </c>
      <c r="D109" s="27">
        <v>52</v>
      </c>
      <c r="E109" s="27">
        <v>568</v>
      </c>
      <c r="F109" s="27">
        <v>41.02</v>
      </c>
      <c r="G109" s="39">
        <f t="shared" si="1"/>
        <v>0.41020000000000001</v>
      </c>
    </row>
    <row r="110" spans="2:7" x14ac:dyDescent="0.25">
      <c r="B110" s="27">
        <v>1254</v>
      </c>
      <c r="C110" s="27" t="s">
        <v>118</v>
      </c>
      <c r="D110" s="27">
        <v>59</v>
      </c>
      <c r="E110" s="27">
        <v>1158</v>
      </c>
      <c r="F110" s="27">
        <v>29.1</v>
      </c>
      <c r="G110" s="39">
        <f t="shared" si="1"/>
        <v>0.29100000000000004</v>
      </c>
    </row>
    <row r="111" spans="2:7" x14ac:dyDescent="0.25">
      <c r="B111" s="27">
        <v>1255</v>
      </c>
      <c r="C111" s="27" t="s">
        <v>119</v>
      </c>
      <c r="D111" s="27">
        <v>91</v>
      </c>
      <c r="E111" s="27">
        <v>1497</v>
      </c>
      <c r="F111" s="27">
        <v>30.19</v>
      </c>
      <c r="G111" s="39">
        <f t="shared" si="1"/>
        <v>0.3019</v>
      </c>
    </row>
    <row r="112" spans="2:7" x14ac:dyDescent="0.25">
      <c r="B112" s="27">
        <v>1256</v>
      </c>
      <c r="C112" s="27" t="s">
        <v>120</v>
      </c>
      <c r="D112" s="27">
        <v>42</v>
      </c>
      <c r="E112" s="27">
        <v>810</v>
      </c>
      <c r="F112" s="27">
        <v>25.31</v>
      </c>
      <c r="G112" s="39">
        <f t="shared" si="1"/>
        <v>0.25309999999999999</v>
      </c>
    </row>
    <row r="113" spans="2:7" x14ac:dyDescent="0.25">
      <c r="B113" s="27">
        <v>1257</v>
      </c>
      <c r="C113" s="27" t="s">
        <v>121</v>
      </c>
      <c r="D113" s="27">
        <v>29</v>
      </c>
      <c r="E113" s="27">
        <v>344</v>
      </c>
      <c r="F113" s="27">
        <v>32.56</v>
      </c>
      <c r="G113" s="39">
        <f t="shared" si="1"/>
        <v>0.3256</v>
      </c>
    </row>
    <row r="114" spans="2:7" x14ac:dyDescent="0.25">
      <c r="B114" s="27">
        <v>1258</v>
      </c>
      <c r="C114" s="27" t="s">
        <v>122</v>
      </c>
      <c r="D114" s="27">
        <v>18</v>
      </c>
      <c r="E114" s="27">
        <v>340</v>
      </c>
      <c r="F114" s="27">
        <v>37.65</v>
      </c>
      <c r="G114" s="39">
        <f t="shared" si="1"/>
        <v>0.3765</v>
      </c>
    </row>
    <row r="115" spans="2:7" x14ac:dyDescent="0.25">
      <c r="B115" s="27">
        <v>1259</v>
      </c>
      <c r="C115" s="27" t="s">
        <v>123</v>
      </c>
      <c r="D115" s="27">
        <v>107</v>
      </c>
      <c r="E115" s="27">
        <v>897</v>
      </c>
      <c r="F115" s="27">
        <v>47.6</v>
      </c>
      <c r="G115" s="39">
        <f t="shared" si="1"/>
        <v>0.47600000000000003</v>
      </c>
    </row>
    <row r="116" spans="2:7" x14ac:dyDescent="0.25">
      <c r="B116" s="27">
        <v>1260</v>
      </c>
      <c r="C116" s="27" t="s">
        <v>124</v>
      </c>
      <c r="D116" s="27">
        <v>85</v>
      </c>
      <c r="E116" s="27">
        <v>1064</v>
      </c>
      <c r="F116" s="27">
        <v>38.909999999999997</v>
      </c>
      <c r="G116" s="39">
        <f t="shared" si="1"/>
        <v>0.38909999999999995</v>
      </c>
    </row>
    <row r="117" spans="2:7" x14ac:dyDescent="0.25">
      <c r="B117" s="27">
        <v>1261</v>
      </c>
      <c r="C117" s="27" t="s">
        <v>125</v>
      </c>
      <c r="D117" s="27" t="s">
        <v>163</v>
      </c>
      <c r="E117" s="27">
        <v>14017</v>
      </c>
      <c r="F117" s="27">
        <v>31.94</v>
      </c>
      <c r="G117" s="39">
        <f t="shared" si="1"/>
        <v>0.31940000000000002</v>
      </c>
    </row>
    <row r="118" spans="2:7" x14ac:dyDescent="0.25">
      <c r="B118" s="27">
        <v>1263</v>
      </c>
      <c r="C118" s="27" t="s">
        <v>126</v>
      </c>
      <c r="D118" s="27">
        <v>840</v>
      </c>
      <c r="E118" s="27">
        <v>7030</v>
      </c>
      <c r="F118" s="27">
        <v>30.17</v>
      </c>
      <c r="G118" s="39">
        <f t="shared" si="1"/>
        <v>0.30170000000000002</v>
      </c>
    </row>
    <row r="119" spans="2:7" x14ac:dyDescent="0.25">
      <c r="B119" s="27">
        <v>1264</v>
      </c>
      <c r="C119" s="27" t="s">
        <v>127</v>
      </c>
      <c r="D119" s="27">
        <v>144</v>
      </c>
      <c r="E119" s="27">
        <v>1352</v>
      </c>
      <c r="F119" s="27">
        <v>36.979999999999997</v>
      </c>
      <c r="G119" s="39">
        <f t="shared" si="1"/>
        <v>0.36979999999999996</v>
      </c>
    </row>
    <row r="120" spans="2:7" x14ac:dyDescent="0.25">
      <c r="B120" s="28">
        <v>1265</v>
      </c>
      <c r="C120" s="27" t="s">
        <v>128</v>
      </c>
      <c r="D120" s="27">
        <v>972</v>
      </c>
      <c r="E120" s="27">
        <v>6529</v>
      </c>
      <c r="F120" s="27">
        <v>37.69</v>
      </c>
      <c r="G120" s="39">
        <f t="shared" si="1"/>
        <v>0.37689999999999996</v>
      </c>
    </row>
    <row r="121" spans="2:7" x14ac:dyDescent="0.25">
      <c r="B121" s="27">
        <v>1266</v>
      </c>
      <c r="C121" s="27" t="s">
        <v>129</v>
      </c>
      <c r="D121" s="27">
        <v>227</v>
      </c>
      <c r="E121" s="27">
        <v>1801</v>
      </c>
      <c r="F121" s="27">
        <v>33.76</v>
      </c>
      <c r="G121" s="39">
        <f t="shared" si="1"/>
        <v>0.33759999999999996</v>
      </c>
    </row>
    <row r="122" spans="2:7" x14ac:dyDescent="0.25">
      <c r="B122" s="28">
        <v>1267</v>
      </c>
      <c r="C122" s="27" t="s">
        <v>130</v>
      </c>
      <c r="D122" s="27">
        <v>198</v>
      </c>
      <c r="E122" s="27">
        <v>2037</v>
      </c>
      <c r="F122" s="27">
        <v>32.6</v>
      </c>
      <c r="G122" s="39">
        <f t="shared" si="1"/>
        <v>0.32600000000000001</v>
      </c>
    </row>
    <row r="123" spans="2:7" x14ac:dyDescent="0.25">
      <c r="B123" s="27">
        <v>1271</v>
      </c>
      <c r="C123" s="27" t="s">
        <v>131</v>
      </c>
      <c r="D123" s="27">
        <v>37</v>
      </c>
      <c r="E123" s="27">
        <v>357</v>
      </c>
      <c r="F123" s="27">
        <v>43.42</v>
      </c>
      <c r="G123" s="39">
        <f t="shared" si="1"/>
        <v>0.43420000000000003</v>
      </c>
    </row>
    <row r="124" spans="2:7" x14ac:dyDescent="0.25">
      <c r="B124" s="27">
        <v>1272</v>
      </c>
      <c r="C124" s="27" t="s">
        <v>132</v>
      </c>
      <c r="D124" s="27">
        <v>175</v>
      </c>
      <c r="E124" s="27">
        <v>952</v>
      </c>
      <c r="F124" s="27">
        <v>36.24</v>
      </c>
      <c r="G124" s="39">
        <f t="shared" si="1"/>
        <v>0.3624</v>
      </c>
    </row>
    <row r="125" spans="2:7" x14ac:dyDescent="0.25">
      <c r="B125" s="27">
        <v>1277</v>
      </c>
      <c r="C125" s="27" t="s">
        <v>133</v>
      </c>
      <c r="D125" s="27" t="s">
        <v>164</v>
      </c>
      <c r="E125" s="27">
        <v>6584</v>
      </c>
      <c r="F125" s="27">
        <v>41.34</v>
      </c>
      <c r="G125" s="39">
        <f t="shared" si="1"/>
        <v>0.41340000000000005</v>
      </c>
    </row>
    <row r="126" spans="2:7" x14ac:dyDescent="0.25">
      <c r="B126" s="27">
        <v>1281</v>
      </c>
      <c r="C126" s="27" t="s">
        <v>134</v>
      </c>
      <c r="D126" s="27">
        <v>565</v>
      </c>
      <c r="E126" s="27">
        <v>3390</v>
      </c>
      <c r="F126" s="27">
        <v>46.73</v>
      </c>
      <c r="G126" s="39">
        <f t="shared" si="1"/>
        <v>0.46729999999999999</v>
      </c>
    </row>
    <row r="127" spans="2:7" x14ac:dyDescent="0.25">
      <c r="B127" s="27">
        <v>1282</v>
      </c>
      <c r="C127" s="27" t="s">
        <v>135</v>
      </c>
      <c r="D127" s="27">
        <v>122</v>
      </c>
      <c r="E127" s="27">
        <v>588</v>
      </c>
      <c r="F127" s="27">
        <v>49.32</v>
      </c>
      <c r="G127" s="39">
        <f t="shared" si="1"/>
        <v>0.49320000000000003</v>
      </c>
    </row>
    <row r="128" spans="2:7" x14ac:dyDescent="0.25">
      <c r="B128" s="27">
        <v>1283</v>
      </c>
      <c r="C128" s="27" t="s">
        <v>136</v>
      </c>
      <c r="D128" s="27">
        <v>88</v>
      </c>
      <c r="E128" s="27">
        <v>1154</v>
      </c>
      <c r="F128" s="27">
        <v>26.95</v>
      </c>
      <c r="G128" s="39">
        <f t="shared" si="1"/>
        <v>0.26950000000000002</v>
      </c>
    </row>
    <row r="129" spans="2:7" x14ac:dyDescent="0.25">
      <c r="B129" s="27">
        <v>1286</v>
      </c>
      <c r="C129" s="30" t="s">
        <v>137</v>
      </c>
      <c r="D129" s="30">
        <v>178</v>
      </c>
      <c r="E129" s="30">
        <v>1210</v>
      </c>
      <c r="F129" s="30">
        <v>36.94</v>
      </c>
      <c r="G129" s="39">
        <f t="shared" si="1"/>
        <v>0.36939999999999995</v>
      </c>
    </row>
    <row r="130" spans="2:7" x14ac:dyDescent="0.25">
      <c r="B130" s="27">
        <v>1287</v>
      </c>
      <c r="C130" s="30" t="s">
        <v>138</v>
      </c>
      <c r="D130" s="30">
        <v>179</v>
      </c>
      <c r="E130" s="30">
        <v>1294</v>
      </c>
      <c r="F130" s="30">
        <v>35.159999999999997</v>
      </c>
      <c r="G130" s="39">
        <f t="shared" si="1"/>
        <v>0.35159999999999997</v>
      </c>
    </row>
    <row r="131" spans="2:7" x14ac:dyDescent="0.25">
      <c r="B131" s="27">
        <v>2677</v>
      </c>
      <c r="C131" s="30" t="s">
        <v>139</v>
      </c>
      <c r="D131" s="30">
        <v>495</v>
      </c>
      <c r="E131" s="30">
        <v>2967</v>
      </c>
      <c r="F131" s="30">
        <v>42.16</v>
      </c>
      <c r="G131" s="39">
        <f t="shared" si="1"/>
        <v>0.42159999999999997</v>
      </c>
    </row>
    <row r="132" spans="2:7" x14ac:dyDescent="0.25">
      <c r="C132" s="30" t="s">
        <v>140</v>
      </c>
      <c r="D132" s="30">
        <v>467</v>
      </c>
      <c r="E132" s="30">
        <v>2638</v>
      </c>
      <c r="F132" s="30">
        <v>45.26</v>
      </c>
      <c r="G132" s="39">
        <f t="shared" ref="G132:G141" si="2">F132/100</f>
        <v>0.4526</v>
      </c>
    </row>
    <row r="133" spans="2:7" x14ac:dyDescent="0.25">
      <c r="C133" s="30" t="s">
        <v>141</v>
      </c>
      <c r="D133" s="30">
        <v>358</v>
      </c>
      <c r="E133" s="30">
        <v>2230</v>
      </c>
      <c r="F133" s="30">
        <v>39.549999999999997</v>
      </c>
      <c r="G133" s="39">
        <f t="shared" si="2"/>
        <v>0.39549999999999996</v>
      </c>
    </row>
    <row r="134" spans="2:7" x14ac:dyDescent="0.25">
      <c r="C134" s="30" t="s">
        <v>142</v>
      </c>
      <c r="D134" s="30">
        <v>135</v>
      </c>
      <c r="E134" s="30">
        <v>675</v>
      </c>
      <c r="F134" s="30">
        <v>48</v>
      </c>
      <c r="G134" s="39">
        <f t="shared" si="2"/>
        <v>0.48</v>
      </c>
    </row>
    <row r="135" spans="2:7" x14ac:dyDescent="0.25">
      <c r="C135" s="30" t="s">
        <v>143</v>
      </c>
      <c r="D135" s="30">
        <v>312</v>
      </c>
      <c r="E135" s="30">
        <v>2177</v>
      </c>
      <c r="F135" s="30">
        <v>33.85</v>
      </c>
      <c r="G135" s="39">
        <f t="shared" si="2"/>
        <v>0.33850000000000002</v>
      </c>
    </row>
    <row r="136" spans="2:7" x14ac:dyDescent="0.25">
      <c r="C136" s="30" t="s">
        <v>144</v>
      </c>
      <c r="D136" s="30">
        <v>212</v>
      </c>
      <c r="E136" s="30">
        <v>1557</v>
      </c>
      <c r="F136" s="30">
        <v>38.47</v>
      </c>
      <c r="G136" s="39">
        <f t="shared" si="2"/>
        <v>0.38469999999999999</v>
      </c>
    </row>
    <row r="137" spans="2:7" x14ac:dyDescent="0.25">
      <c r="C137" s="30" t="s">
        <v>145</v>
      </c>
      <c r="D137" s="30">
        <v>439</v>
      </c>
      <c r="E137" s="30">
        <v>3144</v>
      </c>
      <c r="F137" s="30">
        <v>31.2</v>
      </c>
      <c r="G137" s="39">
        <f t="shared" si="2"/>
        <v>0.312</v>
      </c>
    </row>
    <row r="138" spans="2:7" x14ac:dyDescent="0.25">
      <c r="C138" s="30" t="s">
        <v>146</v>
      </c>
      <c r="D138" s="30">
        <v>60</v>
      </c>
      <c r="E138" s="30">
        <v>529</v>
      </c>
      <c r="F138" s="30">
        <v>31.76</v>
      </c>
      <c r="G138" s="39">
        <f t="shared" si="2"/>
        <v>0.31759999999999999</v>
      </c>
    </row>
    <row r="139" spans="2:7" x14ac:dyDescent="0.25">
      <c r="C139" s="30" t="s">
        <v>147</v>
      </c>
      <c r="D139" s="30">
        <v>318</v>
      </c>
      <c r="E139" s="30">
        <v>2213</v>
      </c>
      <c r="F139" s="30">
        <v>32.85</v>
      </c>
      <c r="G139" s="39">
        <f t="shared" si="2"/>
        <v>0.32850000000000001</v>
      </c>
    </row>
    <row r="140" spans="2:7" x14ac:dyDescent="0.25">
      <c r="C140" s="30" t="s">
        <v>148</v>
      </c>
      <c r="D140" s="30">
        <v>216</v>
      </c>
      <c r="E140" s="30">
        <v>2419</v>
      </c>
      <c r="F140" s="30">
        <v>24.06</v>
      </c>
      <c r="G140" s="39">
        <f t="shared" si="2"/>
        <v>0.24059999999999998</v>
      </c>
    </row>
    <row r="141" spans="2:7" x14ac:dyDescent="0.25">
      <c r="C141" s="30" t="s">
        <v>149</v>
      </c>
      <c r="D141" s="30">
        <v>262</v>
      </c>
      <c r="E141" s="30">
        <v>2595</v>
      </c>
      <c r="F141" s="30">
        <v>26.55</v>
      </c>
      <c r="G141" s="39">
        <f t="shared" si="2"/>
        <v>0.26550000000000001</v>
      </c>
    </row>
    <row r="142" spans="2:7" x14ac:dyDescent="0.25">
      <c r="C142" s="33">
        <v>1267</v>
      </c>
      <c r="D142" s="26">
        <f>SUM(D129:D141)</f>
        <v>3631</v>
      </c>
      <c r="E142" s="26">
        <f>SUM(E129:E141)</f>
        <v>25648</v>
      </c>
      <c r="F142" s="38">
        <f>AVERAGE(F129:F141)</f>
        <v>35.831538461538464</v>
      </c>
      <c r="G142" s="39">
        <f>F142/100</f>
        <v>0.35831538461538465</v>
      </c>
    </row>
    <row r="143" spans="2:7" x14ac:dyDescent="0.25">
      <c r="G143" s="39"/>
    </row>
    <row r="144" spans="2:7" x14ac:dyDescent="0.25">
      <c r="C144" s="31" t="s">
        <v>150</v>
      </c>
      <c r="D144" s="31">
        <v>109</v>
      </c>
      <c r="E144" s="31">
        <v>1069</v>
      </c>
      <c r="F144" s="31">
        <v>27.5</v>
      </c>
      <c r="G144" s="39">
        <f t="shared" ref="G144:G156" si="3">F144/100</f>
        <v>0.27500000000000002</v>
      </c>
    </row>
    <row r="145" spans="3:7" x14ac:dyDescent="0.25">
      <c r="C145" s="31" t="s">
        <v>151</v>
      </c>
      <c r="D145" s="31">
        <v>296</v>
      </c>
      <c r="E145" s="31">
        <v>2729</v>
      </c>
      <c r="F145" s="31">
        <v>28.88</v>
      </c>
      <c r="G145" s="39">
        <f t="shared" si="3"/>
        <v>0.2888</v>
      </c>
    </row>
    <row r="146" spans="3:7" x14ac:dyDescent="0.25">
      <c r="C146" s="31" t="s">
        <v>152</v>
      </c>
      <c r="D146" s="31">
        <v>134</v>
      </c>
      <c r="E146" s="31">
        <v>1846</v>
      </c>
      <c r="F146" s="31">
        <v>27.36</v>
      </c>
      <c r="G146" s="39">
        <f t="shared" si="3"/>
        <v>0.27360000000000001</v>
      </c>
    </row>
    <row r="147" spans="3:7" x14ac:dyDescent="0.25">
      <c r="C147" s="31" t="s">
        <v>153</v>
      </c>
      <c r="D147" s="31">
        <v>193</v>
      </c>
      <c r="E147" s="31">
        <v>1830</v>
      </c>
      <c r="F147" s="31">
        <v>26.45</v>
      </c>
      <c r="G147" s="39">
        <f t="shared" si="3"/>
        <v>0.26450000000000001</v>
      </c>
    </row>
    <row r="148" spans="3:7" x14ac:dyDescent="0.25">
      <c r="C148" s="31" t="s">
        <v>154</v>
      </c>
      <c r="D148" s="31">
        <v>284</v>
      </c>
      <c r="E148" s="31">
        <v>2710</v>
      </c>
      <c r="F148" s="31">
        <v>27.23</v>
      </c>
      <c r="G148" s="39">
        <f t="shared" si="3"/>
        <v>0.27229999999999999</v>
      </c>
    </row>
    <row r="149" spans="3:7" x14ac:dyDescent="0.25">
      <c r="C149" s="31" t="s">
        <v>155</v>
      </c>
      <c r="D149" s="31">
        <v>221</v>
      </c>
      <c r="E149" s="31">
        <v>2783</v>
      </c>
      <c r="F149" s="31">
        <v>20.77</v>
      </c>
      <c r="G149" s="39">
        <f t="shared" si="3"/>
        <v>0.2077</v>
      </c>
    </row>
    <row r="150" spans="3:7" x14ac:dyDescent="0.25">
      <c r="C150" s="31" t="s">
        <v>156</v>
      </c>
      <c r="D150" s="31">
        <v>353</v>
      </c>
      <c r="E150" s="31">
        <v>2723</v>
      </c>
      <c r="F150" s="31">
        <v>33.79</v>
      </c>
      <c r="G150" s="39">
        <f t="shared" si="3"/>
        <v>0.33789999999999998</v>
      </c>
    </row>
    <row r="151" spans="3:7" x14ac:dyDescent="0.25">
      <c r="C151" s="31" t="s">
        <v>157</v>
      </c>
      <c r="D151" s="31">
        <v>334</v>
      </c>
      <c r="E151" s="31">
        <v>2122</v>
      </c>
      <c r="F151" s="31">
        <v>39.49</v>
      </c>
      <c r="G151" s="39">
        <f t="shared" si="3"/>
        <v>0.39490000000000003</v>
      </c>
    </row>
    <row r="152" spans="3:7" x14ac:dyDescent="0.25">
      <c r="C152" s="28">
        <v>1192</v>
      </c>
      <c r="D152" s="26">
        <f>SUM(D144:D151)</f>
        <v>1924</v>
      </c>
      <c r="E152" s="26">
        <f>SUM(E144:E151)</f>
        <v>17812</v>
      </c>
      <c r="F152" s="39">
        <f>AVERAGE(F144:F151)</f>
        <v>28.93375</v>
      </c>
      <c r="G152" s="39">
        <f t="shared" si="3"/>
        <v>0.28933750000000003</v>
      </c>
    </row>
    <row r="153" spans="3:7" x14ac:dyDescent="0.25">
      <c r="G153" s="39"/>
    </row>
    <row r="154" spans="3:7" x14ac:dyDescent="0.25">
      <c r="C154" s="32" t="s">
        <v>158</v>
      </c>
      <c r="D154" s="32">
        <v>136</v>
      </c>
      <c r="E154" s="32">
        <v>807</v>
      </c>
      <c r="F154" s="32">
        <v>43.74</v>
      </c>
      <c r="G154" s="39">
        <f t="shared" si="3"/>
        <v>0.43740000000000001</v>
      </c>
    </row>
    <row r="155" spans="3:7" x14ac:dyDescent="0.25">
      <c r="C155" s="32" t="s">
        <v>159</v>
      </c>
      <c r="D155" s="32">
        <v>460</v>
      </c>
      <c r="E155" s="32">
        <v>2823</v>
      </c>
      <c r="F155" s="32">
        <v>37.58</v>
      </c>
      <c r="G155" s="39">
        <f t="shared" si="3"/>
        <v>0.37579999999999997</v>
      </c>
    </row>
    <row r="156" spans="3:7" x14ac:dyDescent="0.25">
      <c r="C156" s="28">
        <v>1265</v>
      </c>
      <c r="D156" s="27">
        <f>SUM(D154:D155)</f>
        <v>596</v>
      </c>
      <c r="E156" s="27">
        <f>SUM(E154:E155)</f>
        <v>3630</v>
      </c>
      <c r="F156" s="26">
        <f>AVERAGE(F154:F155)</f>
        <v>40.659999999999997</v>
      </c>
      <c r="G156" s="39">
        <f t="shared" si="3"/>
        <v>0.40659999999999996</v>
      </c>
    </row>
  </sheetData>
  <pageMargins left="0.7" right="0.7" top="0.75" bottom="0.75" header="0.3" footer="0.3"/>
  <ignoredErrors>
    <ignoredError sqref="C3:C141 D75 D93 D98 D117 D125 C144:C151 C154:C155" numberStoredAsText="1"/>
    <ignoredError sqref="D142:F14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Morena</vt:lpstr>
      <vt:lpstr>Distrito 10</vt:lpstr>
      <vt:lpstr>Distrito 08</vt:lpstr>
      <vt:lpstr>Cálculo Secciones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Alexei H</dc:creator>
  <cp:lastModifiedBy>cclmichoacan_41@outlook.com</cp:lastModifiedBy>
  <dcterms:created xsi:type="dcterms:W3CDTF">2024-01-29T03:51:21Z</dcterms:created>
  <dcterms:modified xsi:type="dcterms:W3CDTF">2024-02-22T19:03:37Z</dcterms:modified>
</cp:coreProperties>
</file>